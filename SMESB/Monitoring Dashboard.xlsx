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Ticket Size" sheetId="1" r:id="rId1"/>
    <sheet name="12 Months Portfolio" sheetId="2" r:id="rId2"/>
    <sheet name="Portfolio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<sst xmlns="http://schemas.openxmlformats.org/spreadsheetml/2006/main" count="658" uniqueCount="219">
  <si>
    <t>Below 10 Lac</t>
  </si>
  <si>
    <t>10–20 Lac</t>
  </si>
  <si>
    <t>Area/Territory/Region</t>
  </si>
  <si>
    <t>Collectable</t>
  </si>
  <si>
    <t>Collection</t>
  </si>
  <si>
    <t>Collectable vs Collection</t>
  </si>
  <si>
    <t>EMI</t>
  </si>
  <si>
    <t>EMI vs Collection</t>
  </si>
  <si>
    <t>Portfolio</t>
  </si>
  <si>
    <t>NPL</t>
  </si>
  <si>
    <t>NPL %</t>
  </si>
  <si>
    <t>PAR</t>
  </si>
  <si>
    <t>PAR %</t>
  </si>
  <si>
    <t>EMS vs Collection</t>
  </si>
  <si>
    <t>Elephant Road</t>
  </si>
  <si>
    <t>Moghbazar</t>
  </si>
  <si>
    <t>Elephant Road Territory</t>
  </si>
  <si>
    <t>Badda</t>
  </si>
  <si>
    <t>Banasree</t>
  </si>
  <si>
    <t>Gulshan Territory</t>
  </si>
  <si>
    <t>Fatullah</t>
  </si>
  <si>
    <t>Narayangonj</t>
  </si>
  <si>
    <t>Shiddirgonj</t>
  </si>
  <si>
    <t>Narayangonj Territory</t>
  </si>
  <si>
    <t>Dhaka-1 Region</t>
  </si>
  <si>
    <t>Hasnabad</t>
  </si>
  <si>
    <t>Kamrangirchar</t>
  </si>
  <si>
    <t>Keranigonj</t>
  </si>
  <si>
    <t>Zinzira</t>
  </si>
  <si>
    <t>Keranigonj Territory</t>
  </si>
  <si>
    <t>Bhanga</t>
  </si>
  <si>
    <t>Faridpur</t>
  </si>
  <si>
    <t>Gopalgonj</t>
  </si>
  <si>
    <t>Rajbari</t>
  </si>
  <si>
    <t>Shariatpur</t>
  </si>
  <si>
    <t>Faridpur Territory</t>
  </si>
  <si>
    <t>Baligaon</t>
  </si>
  <si>
    <t>Nawabgonj</t>
  </si>
  <si>
    <t>Sreenagar</t>
  </si>
  <si>
    <t>Munshiganj Territory</t>
  </si>
  <si>
    <t>Faridpur Region</t>
  </si>
  <si>
    <t>Bharaib</t>
  </si>
  <si>
    <t>Kotiadi</t>
  </si>
  <si>
    <t>Kishoreganj</t>
  </si>
  <si>
    <t>Kishoreganj Territory</t>
  </si>
  <si>
    <t>Bhulta</t>
  </si>
  <si>
    <t>Narsingdi</t>
  </si>
  <si>
    <t>Narsingdi Territory</t>
  </si>
  <si>
    <t>Narsingdi Region</t>
  </si>
  <si>
    <t>Jessore</t>
  </si>
  <si>
    <t>Jikorgacha</t>
  </si>
  <si>
    <t>Keshobpur</t>
  </si>
  <si>
    <t>Magura</t>
  </si>
  <si>
    <t>Narail</t>
  </si>
  <si>
    <t>Jessore Territory</t>
  </si>
  <si>
    <t>Bagerhat</t>
  </si>
  <si>
    <t>Daulatpur</t>
  </si>
  <si>
    <t>Khulna</t>
  </si>
  <si>
    <t>Sathkhira</t>
  </si>
  <si>
    <t>Khulna Territory</t>
  </si>
  <si>
    <t>Khulna Region</t>
  </si>
  <si>
    <t>Zone 1</t>
  </si>
  <si>
    <t>Ashulia</t>
  </si>
  <si>
    <t>DEPZ</t>
  </si>
  <si>
    <t>Tongi</t>
  </si>
  <si>
    <t>Dakshin</t>
  </si>
  <si>
    <t>Tongi Territory</t>
  </si>
  <si>
    <t>Gazipur</t>
  </si>
  <si>
    <t>Joydebpur</t>
  </si>
  <si>
    <t>Konabari</t>
  </si>
  <si>
    <t>Sreepur</t>
  </si>
  <si>
    <t>Kaliakair</t>
  </si>
  <si>
    <t>Gazipur Territory</t>
  </si>
  <si>
    <t>Gazipur Region</t>
  </si>
  <si>
    <t>Jamalpur</t>
  </si>
  <si>
    <t>Mymensingh</t>
  </si>
  <si>
    <t>Sherpur</t>
  </si>
  <si>
    <t>Mymensingh Territory</t>
  </si>
  <si>
    <t>Mymensingh Region</t>
  </si>
  <si>
    <t>Bheramara</t>
  </si>
  <si>
    <t>Chuadanga</t>
  </si>
  <si>
    <t>Jhenaidah</t>
  </si>
  <si>
    <t>Kushtia</t>
  </si>
  <si>
    <t>Kushtia Territory</t>
  </si>
  <si>
    <t>C. Nawabganj</t>
  </si>
  <si>
    <t>Rajshahi</t>
  </si>
  <si>
    <t>Rajshahi Territory</t>
  </si>
  <si>
    <t>Rajshahi Region</t>
  </si>
  <si>
    <t>Zone 2</t>
  </si>
  <si>
    <t>Imamgonj</t>
  </si>
  <si>
    <t>Islambagh</t>
  </si>
  <si>
    <t>Islampur Road</t>
  </si>
  <si>
    <t>Shambazar</t>
  </si>
  <si>
    <t>Islampur Territory</t>
  </si>
  <si>
    <t>Gulistan</t>
  </si>
  <si>
    <t>Nawabpur</t>
  </si>
  <si>
    <t>Motijheel Territory</t>
  </si>
  <si>
    <t>Jatrabari</t>
  </si>
  <si>
    <t>Sonir Akhra</t>
  </si>
  <si>
    <t>Zurain</t>
  </si>
  <si>
    <t>Jatrabari Territory</t>
  </si>
  <si>
    <t>Dhaka-2 Region</t>
  </si>
  <si>
    <t>Agailjhara</t>
  </si>
  <si>
    <t>Barishal</t>
  </si>
  <si>
    <t>Swarupkathi</t>
  </si>
  <si>
    <t>Barishal Territory</t>
  </si>
  <si>
    <t>Barguna</t>
  </si>
  <si>
    <t>Bhola</t>
  </si>
  <si>
    <t>Patuakhali</t>
  </si>
  <si>
    <t>Patuakhali Territory</t>
  </si>
  <si>
    <t>Barishal Region</t>
  </si>
  <si>
    <t>Kazipara</t>
  </si>
  <si>
    <t>Mirpur</t>
  </si>
  <si>
    <t>Mohammadpur</t>
  </si>
  <si>
    <t xml:space="preserve">Pallabi </t>
  </si>
  <si>
    <t>Mirpur Territory</t>
  </si>
  <si>
    <t>Dhamrai</t>
  </si>
  <si>
    <t>Savar</t>
  </si>
  <si>
    <t>Savar-2</t>
  </si>
  <si>
    <t>Manikgonj</t>
  </si>
  <si>
    <t>Savar Territory</t>
  </si>
  <si>
    <t>Ghatail</t>
  </si>
  <si>
    <t>Tangail</t>
  </si>
  <si>
    <t>Tangail Territory</t>
  </si>
  <si>
    <t>Mirpur Region</t>
  </si>
  <si>
    <t>Zone 3</t>
  </si>
  <si>
    <t xml:space="preserve">Bandartila </t>
  </si>
  <si>
    <t>Halishahar</t>
  </si>
  <si>
    <t>Kadamtali</t>
  </si>
  <si>
    <t>Pahartali</t>
  </si>
  <si>
    <t>CTG North Territory</t>
  </si>
  <si>
    <t>Chawk Bazar</t>
  </si>
  <si>
    <t>Hathazari</t>
  </si>
  <si>
    <t>Kalurghat</t>
  </si>
  <si>
    <t>CTG South Territory</t>
  </si>
  <si>
    <t>Anderkilla</t>
  </si>
  <si>
    <t>Khatungonj</t>
  </si>
  <si>
    <t>Nondon Kanon</t>
  </si>
  <si>
    <t>CTG Central Territory</t>
  </si>
  <si>
    <t>Cox's Bazar</t>
  </si>
  <si>
    <t>Lohagora, CTG</t>
  </si>
  <si>
    <t>Potiya</t>
  </si>
  <si>
    <t>Cox's Bazar Territory</t>
  </si>
  <si>
    <t>Chittagong Region</t>
  </si>
  <si>
    <t>Chauddagram</t>
  </si>
  <si>
    <t>Comilla East</t>
  </si>
  <si>
    <t>Comilla West</t>
  </si>
  <si>
    <t>Hazigonj</t>
  </si>
  <si>
    <t>Comilla Territory</t>
  </si>
  <si>
    <t>Feni</t>
  </si>
  <si>
    <t>Laksham</t>
  </si>
  <si>
    <t>Nangolkot</t>
  </si>
  <si>
    <t>Feni Territory</t>
  </si>
  <si>
    <t>Choumohoni</t>
  </si>
  <si>
    <t>Laxmipur</t>
  </si>
  <si>
    <t>Maijdee</t>
  </si>
  <si>
    <t>Noakhali Territory</t>
  </si>
  <si>
    <t>Comilla Region</t>
  </si>
  <si>
    <t>Bancharampur</t>
  </si>
  <si>
    <t>Brahmanbaria</t>
  </si>
  <si>
    <t>Chandina</t>
  </si>
  <si>
    <t>Companygonj</t>
  </si>
  <si>
    <t>Brahmanbaria Territory</t>
  </si>
  <si>
    <t>Hobigonj</t>
  </si>
  <si>
    <t>Kosba</t>
  </si>
  <si>
    <t>Madhabpur</t>
  </si>
  <si>
    <t>Shaheshtagonj</t>
  </si>
  <si>
    <t>Hobigonj Territory</t>
  </si>
  <si>
    <t>Ambarkhana</t>
  </si>
  <si>
    <t xml:space="preserve">Kulaura </t>
  </si>
  <si>
    <t>South Surma</t>
  </si>
  <si>
    <t>Sylhet Territory</t>
  </si>
  <si>
    <t>Sylhet Region</t>
  </si>
  <si>
    <t>Zone 4</t>
  </si>
  <si>
    <t>Ishwardi</t>
  </si>
  <si>
    <t>Pabna</t>
  </si>
  <si>
    <t>Pabna Territory</t>
  </si>
  <si>
    <t>Bogura</t>
  </si>
  <si>
    <t>Gaibandha</t>
  </si>
  <si>
    <t>Sirajgonj</t>
  </si>
  <si>
    <t>Bogura Territory</t>
  </si>
  <si>
    <t>Joypurhat</t>
  </si>
  <si>
    <t>Naogaon</t>
  </si>
  <si>
    <t>Naogaon Territory</t>
  </si>
  <si>
    <t>Bogra Region</t>
  </si>
  <si>
    <t>Dinajpur</t>
  </si>
  <si>
    <t>Fulbari</t>
  </si>
  <si>
    <t>Syedpur</t>
  </si>
  <si>
    <t>Dinajpur Territory</t>
  </si>
  <si>
    <t>Kurigram</t>
  </si>
  <si>
    <t>Rangpur</t>
  </si>
  <si>
    <t>Rangpur Territory</t>
  </si>
  <si>
    <t>Panchaghar</t>
  </si>
  <si>
    <t>Thakurgaon</t>
  </si>
  <si>
    <t>Thakurgoan Territory</t>
  </si>
  <si>
    <t>Rangpur Region</t>
  </si>
  <si>
    <t xml:space="preserve">Zone 5 </t>
  </si>
  <si>
    <t>Total Small Business</t>
  </si>
  <si>
    <t>Last 12 Months</t>
  </si>
  <si>
    <t>FEB'26</t>
  </si>
  <si>
    <t>MAR'26</t>
  </si>
  <si>
    <t>APR'26</t>
  </si>
  <si>
    <t>MAY'26</t>
  </si>
  <si>
    <t>TOTAL</t>
  </si>
  <si>
    <t>AREA/TERRITORY/REGION</t>
  </si>
  <si>
    <t>Outstanding</t>
  </si>
  <si>
    <t>Installment</t>
  </si>
  <si>
    <t>Collectable Collection</t>
  </si>
  <si>
    <t>EMI (%)</t>
  </si>
  <si>
    <t>Collectable (%)</t>
  </si>
  <si>
    <t>Collectable vs Outstanding (%)</t>
  </si>
  <si>
    <t>Collectable vs Collection
(%)</t>
  </si>
  <si>
    <t>PAR OS</t>
  </si>
  <si>
    <t>NPL OS</t>
  </si>
  <si>
    <t>Pallabi</t>
  </si>
  <si>
    <t>Bandartila</t>
  </si>
  <si>
    <t>Kulaura</t>
  </si>
  <si>
    <t>Natore</t>
  </si>
  <si>
    <t>Country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</si>
</sst>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%"/>
    <numFmt numFmtId="178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B98AD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53805"/>
        <bgColor theme="4" tint="0.799981688894314"/>
      </patternFill>
    </fill>
    <fill>
      <patternFill patternType="solid">
        <fgColor rgb="FF00206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1" xfId="49" applyNumberFormat="1" applyFont="1" applyFill="1" applyBorder="1" applyAlignment="1">
      <alignment horizontal="center" vertical="center" wrapText="1"/>
    </xf>
    <xf numFmtId="0" fontId="2" fillId="7" borderId="2" xfId="49" applyNumberFormat="1" applyFont="1" applyFill="1" applyBorder="1" applyAlignment="1">
      <alignment horizontal="center" vertical="center" wrapText="1"/>
    </xf>
    <xf numFmtId="43" fontId="3" fillId="0" borderId="1" xfId="49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43" fontId="2" fillId="7" borderId="1" xfId="49" applyFont="1" applyFill="1" applyBorder="1" applyAlignment="1">
      <alignment horizontal="center" vertical="center"/>
    </xf>
    <xf numFmtId="10" fontId="2" fillId="7" borderId="1" xfId="3" applyNumberFormat="1" applyFont="1" applyFill="1" applyBorder="1" applyAlignment="1">
      <alignment horizontal="center" vertical="center"/>
    </xf>
    <xf numFmtId="43" fontId="2" fillId="8" borderId="1" xfId="49" applyFont="1" applyFill="1" applyBorder="1" applyAlignment="1">
      <alignment horizontal="center" vertical="center"/>
    </xf>
    <xf numFmtId="10" fontId="2" fillId="8" borderId="1" xfId="3" applyNumberFormat="1" applyFont="1" applyFill="1" applyBorder="1" applyAlignment="1">
      <alignment horizontal="center" vertical="center"/>
    </xf>
    <xf numFmtId="43" fontId="2" fillId="9" borderId="1" xfId="49" applyFont="1" applyFill="1" applyBorder="1" applyAlignment="1">
      <alignment horizontal="center" vertical="center"/>
    </xf>
    <xf numFmtId="10" fontId="2" fillId="9" borderId="1" xfId="3" applyNumberFormat="1" applyFont="1" applyFill="1" applyBorder="1" applyAlignment="1">
      <alignment horizontal="center" vertical="center"/>
    </xf>
    <xf numFmtId="43" fontId="2" fillId="10" borderId="1" xfId="49" applyFont="1" applyFill="1" applyBorder="1" applyAlignment="1">
      <alignment horizontal="center" vertical="center"/>
    </xf>
    <xf numFmtId="10" fontId="2" fillId="10" borderId="1" xfId="3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 vertical="center"/>
    </xf>
    <xf numFmtId="177" fontId="5" fillId="11" borderId="3" xfId="3" applyNumberFormat="1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43" fontId="3" fillId="0" borderId="1" xfId="49" applyFont="1" applyFill="1" applyBorder="1" applyAlignment="1">
      <alignment horizontal="left" vertical="center"/>
    </xf>
    <xf numFmtId="178" fontId="0" fillId="0" borderId="0" xfId="1" applyNumberFormat="1" applyFont="1" applyBorder="1" applyAlignment="1">
      <alignment horizontal="right"/>
    </xf>
    <xf numFmtId="177" fontId="6" fillId="0" borderId="0" xfId="3" applyNumberFormat="1" applyFont="1" applyBorder="1" applyAlignment="1">
      <alignment horizontal="right"/>
    </xf>
    <xf numFmtId="178" fontId="0" fillId="0" borderId="0" xfId="1" applyNumberFormat="1" applyFont="1" applyAlignment="1">
      <alignment horizontal="right"/>
    </xf>
    <xf numFmtId="177" fontId="6" fillId="0" borderId="0" xfId="3" applyNumberFormat="1" applyFont="1" applyAlignment="1">
      <alignment horizontal="right"/>
    </xf>
    <xf numFmtId="43" fontId="2" fillId="7" borderId="1" xfId="49" applyFont="1" applyFill="1" applyBorder="1" applyAlignment="1">
      <alignment horizontal="left" vertical="center"/>
    </xf>
    <xf numFmtId="178" fontId="2" fillId="7" borderId="1" xfId="1" applyNumberFormat="1" applyFont="1" applyFill="1" applyBorder="1" applyAlignment="1">
      <alignment horizontal="right" vertical="center"/>
    </xf>
    <xf numFmtId="177" fontId="2" fillId="7" borderId="1" xfId="3" applyNumberFormat="1" applyFont="1" applyFill="1" applyBorder="1" applyAlignment="1">
      <alignment horizontal="right" vertical="center"/>
    </xf>
    <xf numFmtId="43" fontId="2" fillId="8" borderId="1" xfId="49" applyFont="1" applyFill="1" applyBorder="1" applyAlignment="1">
      <alignment horizontal="left" vertical="center"/>
    </xf>
    <xf numFmtId="178" fontId="2" fillId="8" borderId="1" xfId="1" applyNumberFormat="1" applyFont="1" applyFill="1" applyBorder="1" applyAlignment="1">
      <alignment horizontal="right" vertical="center"/>
    </xf>
    <xf numFmtId="177" fontId="2" fillId="8" borderId="1" xfId="3" applyNumberFormat="1" applyFont="1" applyFill="1" applyBorder="1" applyAlignment="1">
      <alignment horizontal="right" vertical="center"/>
    </xf>
    <xf numFmtId="43" fontId="2" fillId="9" borderId="1" xfId="49" applyFont="1" applyFill="1" applyBorder="1" applyAlignment="1">
      <alignment horizontal="left" vertical="center"/>
    </xf>
    <xf numFmtId="178" fontId="2" fillId="9" borderId="1" xfId="1" applyNumberFormat="1" applyFont="1" applyFill="1" applyBorder="1" applyAlignment="1">
      <alignment horizontal="right" vertical="center"/>
    </xf>
    <xf numFmtId="177" fontId="2" fillId="9" borderId="1" xfId="3" applyNumberFormat="1" applyFont="1" applyFill="1" applyBorder="1" applyAlignment="1">
      <alignment horizontal="right" vertical="center"/>
    </xf>
    <xf numFmtId="43" fontId="2" fillId="10" borderId="1" xfId="49" applyFont="1" applyFill="1" applyBorder="1" applyAlignment="1">
      <alignment horizontal="left" vertical="center"/>
    </xf>
    <xf numFmtId="178" fontId="2" fillId="10" borderId="1" xfId="1" applyNumberFormat="1" applyFont="1" applyFill="1" applyBorder="1" applyAlignment="1">
      <alignment horizontal="right" vertical="center"/>
    </xf>
    <xf numFmtId="177" fontId="2" fillId="10" borderId="1" xfId="3" applyNumberFormat="1" applyFont="1" applyFill="1" applyBorder="1" applyAlignment="1">
      <alignment horizontal="right" vertical="center"/>
    </xf>
    <xf numFmtId="10" fontId="2" fillId="10" borderId="1" xfId="3" applyNumberFormat="1" applyFont="1" applyFill="1" applyBorder="1" applyAlignment="1">
      <alignment horizontal="right" vertical="center"/>
    </xf>
    <xf numFmtId="177" fontId="5" fillId="11" borderId="3" xfId="3" applyNumberFormat="1" applyFont="1" applyFill="1" applyBorder="1" applyAlignment="1">
      <alignment horizontal="right"/>
    </xf>
    <xf numFmtId="0" fontId="4" fillId="12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 vertical="center"/>
    </xf>
    <xf numFmtId="177" fontId="5" fillId="12" borderId="3" xfId="3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B98A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onthly%20Overdue%20Report%2031th-Mar'26_Working_M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Under%20Writting\Monthly%20Overdue%20Report%2031th-Mar'26_W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Agailjhara</v>
          </cell>
          <cell r="B6">
            <v>5753023.32</v>
          </cell>
          <cell r="C6">
            <v>3244259.4</v>
          </cell>
          <cell r="D6">
            <v>3193335.61</v>
          </cell>
          <cell r="E6">
            <v>10189538.62</v>
          </cell>
          <cell r="F6">
            <v>7636415.9</v>
          </cell>
          <cell r="G6">
            <v>7615248.16</v>
          </cell>
          <cell r="H6">
            <v>10137709.68</v>
          </cell>
          <cell r="I6">
            <v>7150614.32</v>
          </cell>
          <cell r="J6">
            <v>7063490.79</v>
          </cell>
          <cell r="K6">
            <v>5527033.73</v>
          </cell>
          <cell r="L6">
            <v>3989024.15</v>
          </cell>
          <cell r="M6">
            <v>3985370.71</v>
          </cell>
          <cell r="N6">
            <v>1472753.13</v>
          </cell>
          <cell r="O6">
            <v>1473805.98</v>
          </cell>
          <cell r="P6">
            <v>1472753.13</v>
          </cell>
          <cell r="Q6">
            <v>1403840.25</v>
          </cell>
          <cell r="R6">
            <v>1405659.71</v>
          </cell>
          <cell r="S6">
            <v>1403840.25</v>
          </cell>
          <cell r="T6">
            <v>34483898.73</v>
          </cell>
          <cell r="U6">
            <v>24899779.46</v>
          </cell>
          <cell r="V6">
            <v>24734038.65</v>
          </cell>
        </row>
        <row r="7">
          <cell r="A7" t="str">
            <v>Ambarkhana</v>
          </cell>
          <cell r="B7">
            <v>7506049.04</v>
          </cell>
          <cell r="C7">
            <v>5245125.31</v>
          </cell>
          <cell r="D7">
            <v>5056067.67</v>
          </cell>
          <cell r="E7">
            <v>15686989.03</v>
          </cell>
          <cell r="F7">
            <v>13714128.05</v>
          </cell>
          <cell r="G7">
            <v>13535566.66</v>
          </cell>
          <cell r="H7">
            <v>3345236.6</v>
          </cell>
          <cell r="I7">
            <v>3225626.1</v>
          </cell>
          <cell r="J7">
            <v>3222828.82</v>
          </cell>
          <cell r="K7">
            <v>0</v>
          </cell>
        </row>
        <row r="7">
          <cell r="M7">
            <v>0</v>
          </cell>
        </row>
        <row r="7">
          <cell r="Q7">
            <v>512664.45</v>
          </cell>
          <cell r="R7">
            <v>512664.45</v>
          </cell>
          <cell r="S7">
            <v>512664.45</v>
          </cell>
          <cell r="T7">
            <v>27050939.12</v>
          </cell>
          <cell r="U7">
            <v>22697543.91</v>
          </cell>
          <cell r="V7">
            <v>22327127.6</v>
          </cell>
        </row>
        <row r="8">
          <cell r="A8" t="str">
            <v>Anderkilla</v>
          </cell>
          <cell r="B8">
            <v>957688.51</v>
          </cell>
          <cell r="C8">
            <v>27732.26</v>
          </cell>
          <cell r="D8">
            <v>27732.26</v>
          </cell>
          <cell r="E8">
            <v>21024593.86</v>
          </cell>
          <cell r="F8">
            <v>8275343.63</v>
          </cell>
          <cell r="G8">
            <v>7848176.42</v>
          </cell>
          <cell r="H8">
            <v>37715077.04</v>
          </cell>
          <cell r="I8">
            <v>17925015.12</v>
          </cell>
          <cell r="J8">
            <v>17332455.37</v>
          </cell>
          <cell r="K8">
            <v>4143022.48</v>
          </cell>
          <cell r="L8">
            <v>3914124.7</v>
          </cell>
          <cell r="M8">
            <v>3900928.66</v>
          </cell>
          <cell r="N8">
            <v>2138241.3</v>
          </cell>
          <cell r="O8">
            <v>2141292.92</v>
          </cell>
          <cell r="P8">
            <v>2138241.3</v>
          </cell>
          <cell r="Q8">
            <v>5703642.01</v>
          </cell>
          <cell r="R8">
            <v>5478380.9</v>
          </cell>
          <cell r="S8">
            <v>5119287.72</v>
          </cell>
          <cell r="T8">
            <v>71682265.2</v>
          </cell>
          <cell r="U8">
            <v>37761889.53</v>
          </cell>
          <cell r="V8">
            <v>36366821.73</v>
          </cell>
        </row>
        <row r="9">
          <cell r="A9" t="str">
            <v>Ashulia</v>
          </cell>
          <cell r="B9">
            <v>564045.73</v>
          </cell>
          <cell r="C9">
            <v>169675.05</v>
          </cell>
          <cell r="D9">
            <v>169465.23</v>
          </cell>
          <cell r="E9">
            <v>5816029.83</v>
          </cell>
          <cell r="F9">
            <v>3776910.19</v>
          </cell>
          <cell r="G9">
            <v>3744744.23</v>
          </cell>
          <cell r="H9">
            <v>10933588.05</v>
          </cell>
          <cell r="I9">
            <v>6838451.3</v>
          </cell>
          <cell r="J9">
            <v>6664874.62</v>
          </cell>
          <cell r="K9">
            <v>1419963.85</v>
          </cell>
          <cell r="L9">
            <v>1420367.95</v>
          </cell>
          <cell r="M9">
            <v>1419963.85</v>
          </cell>
          <cell r="N9">
            <v>1510681.7</v>
          </cell>
          <cell r="O9">
            <v>1572284.69</v>
          </cell>
          <cell r="P9">
            <v>1368688.46</v>
          </cell>
          <cell r="Q9">
            <v>5765820.49</v>
          </cell>
          <cell r="R9">
            <v>5495581.07</v>
          </cell>
          <cell r="S9">
            <v>4952848</v>
          </cell>
          <cell r="T9">
            <v>26010129.65</v>
          </cell>
          <cell r="U9">
            <v>19273270.25</v>
          </cell>
          <cell r="V9">
            <v>18320584.39</v>
          </cell>
        </row>
        <row r="10">
          <cell r="A10" t="str">
            <v>Badda</v>
          </cell>
          <cell r="B10">
            <v>1489164.67</v>
          </cell>
          <cell r="C10">
            <v>515517.2</v>
          </cell>
          <cell r="D10">
            <v>452821.96</v>
          </cell>
          <cell r="E10">
            <v>11745644.94</v>
          </cell>
          <cell r="F10">
            <v>8173884.85</v>
          </cell>
          <cell r="G10">
            <v>7882054.14</v>
          </cell>
          <cell r="H10">
            <v>20957343.7</v>
          </cell>
          <cell r="I10">
            <v>16935305.95</v>
          </cell>
          <cell r="J10">
            <v>16405838.12</v>
          </cell>
          <cell r="K10">
            <v>5389095.08</v>
          </cell>
          <cell r="L10">
            <v>4590894</v>
          </cell>
          <cell r="M10">
            <v>4302221.39</v>
          </cell>
          <cell r="N10">
            <v>3770399.17</v>
          </cell>
          <cell r="O10">
            <v>3165166.56</v>
          </cell>
          <cell r="P10">
            <v>3101735.56</v>
          </cell>
          <cell r="Q10">
            <v>6045660.97</v>
          </cell>
          <cell r="R10">
            <v>4487289.34</v>
          </cell>
          <cell r="S10">
            <v>3157748.77</v>
          </cell>
          <cell r="T10">
            <v>49397308.53</v>
          </cell>
          <cell r="U10">
            <v>37868057.9</v>
          </cell>
          <cell r="V10">
            <v>35302419.94</v>
          </cell>
        </row>
        <row r="11">
          <cell r="A11" t="str">
            <v>Bagerhat</v>
          </cell>
          <cell r="B11">
            <v>4133402.97</v>
          </cell>
          <cell r="C11">
            <v>2305029.77</v>
          </cell>
          <cell r="D11">
            <v>2184615.71</v>
          </cell>
          <cell r="E11">
            <v>13305553.78</v>
          </cell>
          <cell r="F11">
            <v>10053389.56</v>
          </cell>
          <cell r="G11">
            <v>9686377.09</v>
          </cell>
          <cell r="H11">
            <v>6546847.37</v>
          </cell>
          <cell r="I11">
            <v>5885178.42</v>
          </cell>
          <cell r="J11">
            <v>5703703.23</v>
          </cell>
          <cell r="K11">
            <v>237473.06</v>
          </cell>
          <cell r="L11">
            <v>237761.31</v>
          </cell>
          <cell r="M11">
            <v>237473.06</v>
          </cell>
        </row>
        <row r="11">
          <cell r="Q11">
            <v>418170.32</v>
          </cell>
          <cell r="R11">
            <v>418170.32</v>
          </cell>
          <cell r="S11">
            <v>418170.32</v>
          </cell>
          <cell r="T11">
            <v>24641447.5</v>
          </cell>
          <cell r="U11">
            <v>18899529.38</v>
          </cell>
          <cell r="V11">
            <v>18230339.41</v>
          </cell>
        </row>
        <row r="12">
          <cell r="A12" t="str">
            <v>Baligaon</v>
          </cell>
          <cell r="B12">
            <v>2788558.28</v>
          </cell>
          <cell r="C12">
            <v>2486188.39</v>
          </cell>
          <cell r="D12">
            <v>2470212.18</v>
          </cell>
          <cell r="E12">
            <v>15324269.73</v>
          </cell>
          <cell r="F12">
            <v>13959256.79</v>
          </cell>
          <cell r="G12">
            <v>13871747.72</v>
          </cell>
          <cell r="H12">
            <v>1692554.69</v>
          </cell>
          <cell r="I12">
            <v>1567532.4</v>
          </cell>
          <cell r="J12">
            <v>1564939.81</v>
          </cell>
        </row>
        <row r="12">
          <cell r="T12">
            <v>19805382.7</v>
          </cell>
          <cell r="U12">
            <v>18012977.58</v>
          </cell>
          <cell r="V12">
            <v>17906899.71</v>
          </cell>
        </row>
        <row r="13">
          <cell r="A13" t="str">
            <v>Banasree</v>
          </cell>
          <cell r="B13">
            <v>965304.02</v>
          </cell>
          <cell r="C13">
            <v>541897.95</v>
          </cell>
          <cell r="D13">
            <v>428639.34</v>
          </cell>
          <cell r="E13">
            <v>14599720.46</v>
          </cell>
          <cell r="F13">
            <v>7835222.75</v>
          </cell>
          <cell r="G13">
            <v>7381949.95</v>
          </cell>
          <cell r="H13">
            <v>18152000.89</v>
          </cell>
          <cell r="I13">
            <v>14162009.69</v>
          </cell>
          <cell r="J13">
            <v>13666442.82</v>
          </cell>
          <cell r="K13">
            <v>10421116.89</v>
          </cell>
          <cell r="L13">
            <v>5594668.91</v>
          </cell>
          <cell r="M13">
            <v>5189266.72</v>
          </cell>
          <cell r="N13">
            <v>6971632.4</v>
          </cell>
          <cell r="O13">
            <v>5960877.25</v>
          </cell>
          <cell r="P13">
            <v>5958998.89</v>
          </cell>
          <cell r="Q13">
            <v>4094979.03</v>
          </cell>
          <cell r="R13">
            <v>4124813.94</v>
          </cell>
          <cell r="S13">
            <v>4094979.03</v>
          </cell>
          <cell r="T13">
            <v>55204753.69</v>
          </cell>
          <cell r="U13">
            <v>38219490.49</v>
          </cell>
          <cell r="V13">
            <v>36720276.75</v>
          </cell>
        </row>
        <row r="14">
          <cell r="A14" t="str">
            <v>Bancharampur</v>
          </cell>
          <cell r="B14">
            <v>5641670.32</v>
          </cell>
          <cell r="C14">
            <v>4982489.06</v>
          </cell>
          <cell r="D14">
            <v>4936328.28</v>
          </cell>
          <cell r="E14">
            <v>14027723.84</v>
          </cell>
          <cell r="F14">
            <v>11865702.2</v>
          </cell>
          <cell r="G14">
            <v>11797126.34</v>
          </cell>
          <cell r="H14">
            <v>1131703.61</v>
          </cell>
          <cell r="I14">
            <v>1131850.99</v>
          </cell>
          <cell r="J14">
            <v>1131703.61</v>
          </cell>
        </row>
        <row r="14">
          <cell r="T14">
            <v>20801097.77</v>
          </cell>
          <cell r="U14">
            <v>17980042.25</v>
          </cell>
          <cell r="V14">
            <v>17865158.23</v>
          </cell>
        </row>
        <row r="15">
          <cell r="A15" t="str">
            <v>Bandartila </v>
          </cell>
          <cell r="B15">
            <v>1841950</v>
          </cell>
          <cell r="C15">
            <v>911860.9</v>
          </cell>
          <cell r="D15">
            <v>910939.76</v>
          </cell>
          <cell r="E15">
            <v>13418213.37</v>
          </cell>
          <cell r="F15">
            <v>9225886.01000001</v>
          </cell>
          <cell r="G15">
            <v>8879000.42</v>
          </cell>
          <cell r="H15">
            <v>7668577.04</v>
          </cell>
          <cell r="I15">
            <v>3197872.13</v>
          </cell>
          <cell r="J15">
            <v>2841025.83</v>
          </cell>
          <cell r="K15">
            <v>3252343.16</v>
          </cell>
          <cell r="L15">
            <v>779519.27</v>
          </cell>
          <cell r="M15">
            <v>474284.62</v>
          </cell>
          <cell r="N15">
            <v>1317677.52</v>
          </cell>
          <cell r="O15">
            <v>572132.95</v>
          </cell>
          <cell r="P15">
            <v>285674.87</v>
          </cell>
          <cell r="Q15">
            <v>739054.8</v>
          </cell>
          <cell r="R15">
            <v>739054.8</v>
          </cell>
          <cell r="S15">
            <v>739054.8</v>
          </cell>
          <cell r="T15">
            <v>28237815.89</v>
          </cell>
          <cell r="U15">
            <v>15426326.06</v>
          </cell>
          <cell r="V15">
            <v>14129980.3</v>
          </cell>
        </row>
        <row r="16">
          <cell r="A16" t="str">
            <v>Barguna</v>
          </cell>
          <cell r="B16">
            <v>4091487.03</v>
          </cell>
          <cell r="C16">
            <v>2651776.56</v>
          </cell>
          <cell r="D16">
            <v>2646586.76</v>
          </cell>
          <cell r="E16">
            <v>12630918.26</v>
          </cell>
          <cell r="F16">
            <v>8480023.48</v>
          </cell>
          <cell r="G16">
            <v>8174163.73</v>
          </cell>
          <cell r="H16">
            <v>6034994.82</v>
          </cell>
          <cell r="I16">
            <v>5635922.41</v>
          </cell>
          <cell r="J16">
            <v>5376589.64</v>
          </cell>
          <cell r="K16">
            <v>1100012.72</v>
          </cell>
          <cell r="L16">
            <v>1101432.24</v>
          </cell>
          <cell r="M16">
            <v>1100012.72</v>
          </cell>
          <cell r="N16">
            <v>1017590.41</v>
          </cell>
          <cell r="O16">
            <v>564048.57</v>
          </cell>
          <cell r="P16">
            <v>564048.57</v>
          </cell>
        </row>
        <row r="16">
          <cell r="T16">
            <v>24875003.24</v>
          </cell>
          <cell r="U16">
            <v>18433203.26</v>
          </cell>
          <cell r="V16">
            <v>17861401.42</v>
          </cell>
        </row>
        <row r="17">
          <cell r="A17" t="str">
            <v>Barishal</v>
          </cell>
          <cell r="B17">
            <v>3760303.42</v>
          </cell>
          <cell r="C17">
            <v>2243377.31</v>
          </cell>
          <cell r="D17">
            <v>2110264.79</v>
          </cell>
          <cell r="E17">
            <v>15631958.45</v>
          </cell>
          <cell r="F17">
            <v>9010311.2</v>
          </cell>
          <cell r="G17">
            <v>8828205.47</v>
          </cell>
          <cell r="H17">
            <v>15747730.7</v>
          </cell>
          <cell r="I17">
            <v>9320317.63</v>
          </cell>
          <cell r="J17">
            <v>9098507.08</v>
          </cell>
          <cell r="K17">
            <v>4869817.79</v>
          </cell>
          <cell r="L17">
            <v>4392776.52</v>
          </cell>
          <cell r="M17">
            <v>4389173.27</v>
          </cell>
          <cell r="N17">
            <v>2423735.72</v>
          </cell>
          <cell r="O17">
            <v>2270721.33</v>
          </cell>
          <cell r="P17">
            <v>2234038.53</v>
          </cell>
          <cell r="Q17">
            <v>2760890.76</v>
          </cell>
          <cell r="R17">
            <v>2763461.35</v>
          </cell>
          <cell r="S17">
            <v>2760890.76</v>
          </cell>
          <cell r="T17">
            <v>45194436.84</v>
          </cell>
          <cell r="U17">
            <v>30000965.34</v>
          </cell>
          <cell r="V17">
            <v>29421079.9</v>
          </cell>
        </row>
        <row r="18">
          <cell r="A18" t="str">
            <v>Bhanga</v>
          </cell>
          <cell r="B18">
            <v>7732322.37</v>
          </cell>
          <cell r="C18">
            <v>5667100.92</v>
          </cell>
          <cell r="D18">
            <v>5635112.33</v>
          </cell>
          <cell r="E18">
            <v>30788827.4899999</v>
          </cell>
          <cell r="F18">
            <v>23888425.82</v>
          </cell>
          <cell r="G18">
            <v>23569530.11</v>
          </cell>
          <cell r="H18">
            <v>6032811.65</v>
          </cell>
          <cell r="I18">
            <v>5127926.61</v>
          </cell>
          <cell r="J18">
            <v>4804497.9</v>
          </cell>
          <cell r="K18">
            <v>2262559.85</v>
          </cell>
          <cell r="L18">
            <v>2176804.51</v>
          </cell>
          <cell r="M18">
            <v>2175014.97</v>
          </cell>
        </row>
        <row r="18">
          <cell r="Q18">
            <v>1309754.92</v>
          </cell>
          <cell r="R18">
            <v>1313828.81</v>
          </cell>
          <cell r="S18">
            <v>1309754.92</v>
          </cell>
          <cell r="T18">
            <v>48126276.2799999</v>
          </cell>
          <cell r="U18">
            <v>38174086.67</v>
          </cell>
          <cell r="V18">
            <v>37493910.23</v>
          </cell>
        </row>
        <row r="19">
          <cell r="A19" t="str">
            <v>Bharaib</v>
          </cell>
          <cell r="B19">
            <v>2084538.4</v>
          </cell>
          <cell r="C19">
            <v>1583504.69</v>
          </cell>
          <cell r="D19">
            <v>1554191.98</v>
          </cell>
          <cell r="E19">
            <v>20235750.32</v>
          </cell>
          <cell r="F19">
            <v>16703964.27</v>
          </cell>
          <cell r="G19">
            <v>15666674.15</v>
          </cell>
          <cell r="H19">
            <v>6543652.09</v>
          </cell>
          <cell r="I19">
            <v>5964060.35</v>
          </cell>
          <cell r="J19">
            <v>5145965.19</v>
          </cell>
          <cell r="K19">
            <v>338916.63</v>
          </cell>
          <cell r="L19">
            <v>681539.85</v>
          </cell>
          <cell r="M19">
            <v>338916.63</v>
          </cell>
          <cell r="N19">
            <v>1129534.65</v>
          </cell>
          <cell r="O19">
            <v>1131103.33</v>
          </cell>
          <cell r="P19">
            <v>1129534.65</v>
          </cell>
          <cell r="Q19">
            <v>2268487.14</v>
          </cell>
          <cell r="R19">
            <v>2270645.55</v>
          </cell>
          <cell r="S19">
            <v>2268487.14</v>
          </cell>
          <cell r="T19">
            <v>32600879.23</v>
          </cell>
          <cell r="U19">
            <v>28334818.04</v>
          </cell>
          <cell r="V19">
            <v>26103769.74</v>
          </cell>
        </row>
        <row r="20">
          <cell r="A20" t="str">
            <v>Bheramara</v>
          </cell>
          <cell r="B20">
            <v>3954834.64</v>
          </cell>
          <cell r="C20">
            <v>1185792.03</v>
          </cell>
          <cell r="D20">
            <v>1174203.06</v>
          </cell>
          <cell r="E20">
            <v>9310643.15</v>
          </cell>
          <cell r="F20">
            <v>5401991.94</v>
          </cell>
          <cell r="G20">
            <v>5341799.37</v>
          </cell>
          <cell r="H20">
            <v>14450883.7</v>
          </cell>
          <cell r="I20">
            <v>9998623.32</v>
          </cell>
          <cell r="J20">
            <v>9836197.96</v>
          </cell>
          <cell r="K20">
            <v>1456305.4</v>
          </cell>
          <cell r="L20">
            <v>1457127.51</v>
          </cell>
          <cell r="M20">
            <v>1456305.4</v>
          </cell>
          <cell r="N20">
            <v>1541193.62</v>
          </cell>
          <cell r="O20">
            <v>1541194.55</v>
          </cell>
          <cell r="P20">
            <v>1541193.62</v>
          </cell>
        </row>
        <row r="20">
          <cell r="T20">
            <v>30713860.51</v>
          </cell>
          <cell r="U20">
            <v>19584729.35</v>
          </cell>
          <cell r="V20">
            <v>19349699.41</v>
          </cell>
        </row>
        <row r="21">
          <cell r="A21" t="str">
            <v>Bhola</v>
          </cell>
          <cell r="B21">
            <v>2491631.8</v>
          </cell>
          <cell r="C21">
            <v>1172452.22</v>
          </cell>
          <cell r="D21">
            <v>1157418.19</v>
          </cell>
          <cell r="E21">
            <v>11275601.19</v>
          </cell>
          <cell r="F21">
            <v>8794348.93</v>
          </cell>
          <cell r="G21">
            <v>8723181.36</v>
          </cell>
          <cell r="H21">
            <v>6667736.03</v>
          </cell>
          <cell r="I21">
            <v>4310592.75</v>
          </cell>
          <cell r="J21">
            <v>4290326.31</v>
          </cell>
          <cell r="K21">
            <v>2349855.42</v>
          </cell>
          <cell r="L21">
            <v>2351096.76</v>
          </cell>
          <cell r="M21">
            <v>2349855.42</v>
          </cell>
          <cell r="N21">
            <v>250615.53</v>
          </cell>
          <cell r="O21">
            <v>100000</v>
          </cell>
          <cell r="P21">
            <v>100000</v>
          </cell>
          <cell r="Q21">
            <v>1404985.5</v>
          </cell>
          <cell r="R21">
            <v>1030073</v>
          </cell>
          <cell r="S21">
            <v>1029972</v>
          </cell>
          <cell r="T21">
            <v>24440425.47</v>
          </cell>
          <cell r="U21">
            <v>17758563.66</v>
          </cell>
          <cell r="V21">
            <v>17650753.28</v>
          </cell>
        </row>
        <row r="22">
          <cell r="A22" t="str">
            <v>Bhulta</v>
          </cell>
          <cell r="B22">
            <v>1210920.51</v>
          </cell>
          <cell r="C22">
            <v>994940.2</v>
          </cell>
          <cell r="D22">
            <v>992403.63</v>
          </cell>
          <cell r="E22">
            <v>12210753.79</v>
          </cell>
          <cell r="F22">
            <v>10794866.57</v>
          </cell>
          <cell r="G22">
            <v>10308311.3</v>
          </cell>
          <cell r="H22">
            <v>9815067.28</v>
          </cell>
          <cell r="I22">
            <v>8067725.48</v>
          </cell>
          <cell r="J22">
            <v>8057918.3</v>
          </cell>
          <cell r="K22">
            <v>2684059.61</v>
          </cell>
          <cell r="L22">
            <v>2684480.97</v>
          </cell>
          <cell r="M22">
            <v>2683561.23</v>
          </cell>
        </row>
        <row r="22">
          <cell r="Q22">
            <v>1750348.62</v>
          </cell>
          <cell r="R22">
            <v>1752661.79</v>
          </cell>
          <cell r="S22">
            <v>1750348.62</v>
          </cell>
          <cell r="T22">
            <v>27671149.81</v>
          </cell>
          <cell r="U22">
            <v>24294675.01</v>
          </cell>
          <cell r="V22">
            <v>23792543.08</v>
          </cell>
        </row>
        <row r="23">
          <cell r="A23" t="str">
            <v>Bogura</v>
          </cell>
          <cell r="B23">
            <v>4766038.88</v>
          </cell>
          <cell r="C23">
            <v>3660697.21</v>
          </cell>
          <cell r="D23">
            <v>3633605.98</v>
          </cell>
          <cell r="E23">
            <v>14729702.52</v>
          </cell>
          <cell r="F23">
            <v>8939648.07</v>
          </cell>
          <cell r="G23">
            <v>8761063.83</v>
          </cell>
          <cell r="H23">
            <v>12346245.87</v>
          </cell>
          <cell r="I23">
            <v>10320744.99</v>
          </cell>
          <cell r="J23">
            <v>10037459.93</v>
          </cell>
          <cell r="K23">
            <v>5875266.01</v>
          </cell>
          <cell r="L23">
            <v>5036823.12</v>
          </cell>
          <cell r="M23">
            <v>5033596.04</v>
          </cell>
          <cell r="N23">
            <v>4977524.09</v>
          </cell>
          <cell r="O23">
            <v>5008284.07</v>
          </cell>
          <cell r="P23">
            <v>4977524.09</v>
          </cell>
          <cell r="Q23">
            <v>3475309.71</v>
          </cell>
          <cell r="R23">
            <v>3476549.74</v>
          </cell>
          <cell r="S23">
            <v>3475309.71</v>
          </cell>
          <cell r="T23">
            <v>46170087.08</v>
          </cell>
          <cell r="U23">
            <v>36442747.2</v>
          </cell>
          <cell r="V23">
            <v>35918559.58</v>
          </cell>
        </row>
        <row r="24">
          <cell r="A24" t="str">
            <v>Brahmanbaria</v>
          </cell>
          <cell r="B24">
            <v>4360589.55</v>
          </cell>
          <cell r="C24">
            <v>3443495.33</v>
          </cell>
          <cell r="D24">
            <v>3384589.49</v>
          </cell>
          <cell r="E24">
            <v>22724926.82</v>
          </cell>
          <cell r="F24">
            <v>18156440.66</v>
          </cell>
          <cell r="G24">
            <v>17585272.41</v>
          </cell>
          <cell r="H24">
            <v>8272364.55</v>
          </cell>
          <cell r="I24">
            <v>6446720.75</v>
          </cell>
          <cell r="J24">
            <v>6186994.9</v>
          </cell>
          <cell r="K24">
            <v>1492908.88</v>
          </cell>
          <cell r="L24">
            <v>1494234.12</v>
          </cell>
          <cell r="M24">
            <v>1492908.88</v>
          </cell>
          <cell r="N24">
            <v>1667367.43</v>
          </cell>
          <cell r="O24">
            <v>1668192.44</v>
          </cell>
          <cell r="P24">
            <v>1667367.43</v>
          </cell>
        </row>
        <row r="24">
          <cell r="T24">
            <v>38518157.23</v>
          </cell>
          <cell r="U24">
            <v>31209083.3</v>
          </cell>
          <cell r="V24">
            <v>30317133.11</v>
          </cell>
        </row>
        <row r="25">
          <cell r="A25" t="str">
            <v>C. Nawabganj</v>
          </cell>
          <cell r="B25">
            <v>2635416.74</v>
          </cell>
          <cell r="C25">
            <v>2121363.72</v>
          </cell>
          <cell r="D25">
            <v>2120063.79</v>
          </cell>
          <cell r="E25">
            <v>10423355.43</v>
          </cell>
          <cell r="F25">
            <v>9432943.05</v>
          </cell>
          <cell r="G25">
            <v>9098584.48</v>
          </cell>
          <cell r="H25">
            <v>12661691.43</v>
          </cell>
          <cell r="I25">
            <v>10521171.71</v>
          </cell>
          <cell r="J25">
            <v>10512463.29</v>
          </cell>
          <cell r="K25">
            <v>2390195.26</v>
          </cell>
          <cell r="L25">
            <v>2392347.95</v>
          </cell>
          <cell r="M25">
            <v>2390195.26</v>
          </cell>
          <cell r="N25">
            <v>1278317.69</v>
          </cell>
          <cell r="O25">
            <v>1278638.23</v>
          </cell>
          <cell r="P25">
            <v>1278317.69</v>
          </cell>
          <cell r="Q25">
            <v>5094904.42</v>
          </cell>
          <cell r="R25">
            <v>4573105.01</v>
          </cell>
          <cell r="S25">
            <v>4459412.54</v>
          </cell>
          <cell r="T25">
            <v>34483880.97</v>
          </cell>
          <cell r="U25">
            <v>30319569.67</v>
          </cell>
          <cell r="V25">
            <v>29859037.05</v>
          </cell>
        </row>
        <row r="26">
          <cell r="A26" t="str">
            <v>Chandina</v>
          </cell>
          <cell r="B26">
            <v>13484105.58</v>
          </cell>
          <cell r="C26">
            <v>9400821.51</v>
          </cell>
          <cell r="D26">
            <v>9268282.74</v>
          </cell>
          <cell r="E26">
            <v>29998559.27</v>
          </cell>
          <cell r="F26">
            <v>26957233.01</v>
          </cell>
          <cell r="G26">
            <v>26445225.38</v>
          </cell>
          <cell r="H26">
            <v>8586219.69</v>
          </cell>
          <cell r="I26">
            <v>7239838.45</v>
          </cell>
          <cell r="J26">
            <v>7158878.24</v>
          </cell>
          <cell r="K26">
            <v>770931.03</v>
          </cell>
          <cell r="L26">
            <v>771430.38</v>
          </cell>
          <cell r="M26">
            <v>770931.03</v>
          </cell>
          <cell r="N26">
            <v>777117.99</v>
          </cell>
          <cell r="O26">
            <v>628979.79</v>
          </cell>
          <cell r="P26">
            <v>628369.57</v>
          </cell>
        </row>
        <row r="26">
          <cell r="T26">
            <v>53616933.56</v>
          </cell>
          <cell r="U26">
            <v>44998303.14</v>
          </cell>
          <cell r="V26">
            <v>44271686.96</v>
          </cell>
        </row>
        <row r="27">
          <cell r="A27" t="str">
            <v>Chauddagram</v>
          </cell>
          <cell r="B27">
            <v>8126674.3</v>
          </cell>
          <cell r="C27">
            <v>5419092.04</v>
          </cell>
          <cell r="D27">
            <v>5318590.04</v>
          </cell>
          <cell r="E27">
            <v>23910851.71</v>
          </cell>
          <cell r="F27">
            <v>20326567.58</v>
          </cell>
          <cell r="G27">
            <v>20091857.72</v>
          </cell>
          <cell r="H27">
            <v>4783455.04</v>
          </cell>
          <cell r="I27">
            <v>4334494.63</v>
          </cell>
          <cell r="J27">
            <v>4276353.01</v>
          </cell>
          <cell r="K27">
            <v>1097402.67</v>
          </cell>
          <cell r="L27">
            <v>955295.81</v>
          </cell>
          <cell r="M27">
            <v>952956.37</v>
          </cell>
          <cell r="N27">
            <v>4406053.23</v>
          </cell>
        </row>
        <row r="27">
          <cell r="P27">
            <v>0</v>
          </cell>
        </row>
        <row r="27">
          <cell r="T27">
            <v>42324436.95</v>
          </cell>
          <cell r="U27">
            <v>31035450.06</v>
          </cell>
          <cell r="V27">
            <v>30639757.14</v>
          </cell>
        </row>
        <row r="28">
          <cell r="A28" t="str">
            <v>Chawk Bazar</v>
          </cell>
          <cell r="B28">
            <v>1027526.26</v>
          </cell>
          <cell r="C28">
            <v>27536.78</v>
          </cell>
          <cell r="D28">
            <v>27536.78</v>
          </cell>
          <cell r="E28">
            <v>17637105.54</v>
          </cell>
          <cell r="F28">
            <v>7027276.37</v>
          </cell>
          <cell r="G28">
            <v>6914181.71</v>
          </cell>
          <cell r="H28">
            <v>40866922.71</v>
          </cell>
          <cell r="I28">
            <v>22557186.42</v>
          </cell>
          <cell r="J28">
            <v>21945045.96</v>
          </cell>
          <cell r="K28">
            <v>10849627.47</v>
          </cell>
          <cell r="L28">
            <v>8374948.93</v>
          </cell>
          <cell r="M28">
            <v>8366787.69</v>
          </cell>
          <cell r="N28">
            <v>10888880.52</v>
          </cell>
          <cell r="O28">
            <v>4995151.12</v>
          </cell>
          <cell r="P28">
            <v>4699177.24</v>
          </cell>
          <cell r="Q28">
            <v>6345034.34</v>
          </cell>
          <cell r="R28">
            <v>5673021.34</v>
          </cell>
          <cell r="S28">
            <v>5386960.72</v>
          </cell>
          <cell r="T28">
            <v>87615096.84</v>
          </cell>
          <cell r="U28">
            <v>48655120.96</v>
          </cell>
          <cell r="V28">
            <v>47339690.1</v>
          </cell>
        </row>
        <row r="29">
          <cell r="A29" t="str">
            <v>Choumohoni</v>
          </cell>
          <cell r="B29">
            <v>3655709.61</v>
          </cell>
          <cell r="C29">
            <v>2227860.59</v>
          </cell>
          <cell r="D29">
            <v>2078129.4</v>
          </cell>
          <cell r="E29">
            <v>24863776.3</v>
          </cell>
          <cell r="F29">
            <v>16564363.93</v>
          </cell>
          <cell r="G29">
            <v>15808670.06</v>
          </cell>
          <cell r="H29">
            <v>10811552.61</v>
          </cell>
          <cell r="I29">
            <v>7306712.44</v>
          </cell>
          <cell r="J29">
            <v>6497978.61</v>
          </cell>
          <cell r="K29">
            <v>2765468.44</v>
          </cell>
          <cell r="L29">
            <v>2075447.54</v>
          </cell>
          <cell r="M29">
            <v>2074459.15</v>
          </cell>
          <cell r="N29">
            <v>733246.19</v>
          </cell>
          <cell r="O29">
            <v>971934.68</v>
          </cell>
          <cell r="P29">
            <v>733246.19</v>
          </cell>
        </row>
        <row r="29">
          <cell r="T29">
            <v>42829753.15</v>
          </cell>
          <cell r="U29">
            <v>29146319.18</v>
          </cell>
          <cell r="V29">
            <v>27192483.41</v>
          </cell>
        </row>
        <row r="30">
          <cell r="A30" t="str">
            <v>Chuadanga</v>
          </cell>
          <cell r="B30">
            <v>1826470.01</v>
          </cell>
          <cell r="C30">
            <v>1375981.75</v>
          </cell>
          <cell r="D30">
            <v>1331318.27</v>
          </cell>
          <cell r="E30">
            <v>8376380.26</v>
          </cell>
          <cell r="F30">
            <v>7441083.62</v>
          </cell>
          <cell r="G30">
            <v>6976968.84</v>
          </cell>
          <cell r="H30">
            <v>13203792.18</v>
          </cell>
          <cell r="I30">
            <v>9527190.22</v>
          </cell>
          <cell r="J30">
            <v>9401891.49</v>
          </cell>
          <cell r="K30">
            <v>7557299.67</v>
          </cell>
          <cell r="L30">
            <v>7518326.94</v>
          </cell>
          <cell r="M30">
            <v>7502363.19</v>
          </cell>
          <cell r="N30">
            <v>8382980.96</v>
          </cell>
          <cell r="O30">
            <v>7672606.95</v>
          </cell>
          <cell r="P30">
            <v>7643830.36</v>
          </cell>
          <cell r="Q30">
            <v>1579159.59</v>
          </cell>
          <cell r="R30">
            <v>1491809.92</v>
          </cell>
          <cell r="S30">
            <v>1491802.15</v>
          </cell>
          <cell r="T30">
            <v>40926082.67</v>
          </cell>
          <cell r="U30">
            <v>35026999.4</v>
          </cell>
          <cell r="V30">
            <v>34348174.3</v>
          </cell>
        </row>
        <row r="31">
          <cell r="A31" t="str">
            <v>Comilla East</v>
          </cell>
          <cell r="B31">
            <v>5348151.27</v>
          </cell>
          <cell r="C31">
            <v>3821770.82</v>
          </cell>
          <cell r="D31">
            <v>3690243.57</v>
          </cell>
          <cell r="E31">
            <v>24107453.62</v>
          </cell>
          <cell r="F31">
            <v>17603849.71</v>
          </cell>
          <cell r="G31">
            <v>17204491.86</v>
          </cell>
          <cell r="H31">
            <v>8070156.56</v>
          </cell>
          <cell r="I31">
            <v>6291924.46</v>
          </cell>
          <cell r="J31">
            <v>6282722.78</v>
          </cell>
          <cell r="K31">
            <v>1592959.89</v>
          </cell>
          <cell r="L31">
            <v>1934618.07</v>
          </cell>
          <cell r="M31">
            <v>1592959.89</v>
          </cell>
          <cell r="N31">
            <v>1320800.35</v>
          </cell>
          <cell r="O31">
            <v>1321361.46</v>
          </cell>
          <cell r="P31">
            <v>1320800.35</v>
          </cell>
          <cell r="Q31">
            <v>851774.98</v>
          </cell>
          <cell r="R31">
            <v>852679.55</v>
          </cell>
          <cell r="S31">
            <v>851774.98</v>
          </cell>
          <cell r="T31">
            <v>41291296.67</v>
          </cell>
          <cell r="U31">
            <v>31826204.07</v>
          </cell>
          <cell r="V31">
            <v>30942993.43</v>
          </cell>
        </row>
        <row r="32">
          <cell r="A32" t="str">
            <v>Comilla West</v>
          </cell>
          <cell r="B32">
            <v>4365045.43</v>
          </cell>
          <cell r="C32">
            <v>2660992.58</v>
          </cell>
          <cell r="D32">
            <v>2505774.99</v>
          </cell>
          <cell r="E32">
            <v>13742802.39</v>
          </cell>
          <cell r="F32">
            <v>9229669.15</v>
          </cell>
          <cell r="G32">
            <v>8803494.85</v>
          </cell>
          <cell r="H32">
            <v>8613821.82</v>
          </cell>
          <cell r="I32">
            <v>5146943.7</v>
          </cell>
          <cell r="J32">
            <v>5012235.42</v>
          </cell>
          <cell r="K32">
            <v>1348630.12</v>
          </cell>
          <cell r="L32">
            <v>978209.26</v>
          </cell>
          <cell r="M32">
            <v>977767.15</v>
          </cell>
          <cell r="N32">
            <v>1364996.3</v>
          </cell>
          <cell r="O32">
            <v>1088561.26</v>
          </cell>
          <cell r="P32">
            <v>1082750.02</v>
          </cell>
          <cell r="Q32">
            <v>1774717.5</v>
          </cell>
          <cell r="R32">
            <v>756488.87</v>
          </cell>
          <cell r="S32">
            <v>756488.87</v>
          </cell>
          <cell r="T32">
            <v>31210013.56</v>
          </cell>
          <cell r="U32">
            <v>19860864.82</v>
          </cell>
          <cell r="V32">
            <v>19138511.3</v>
          </cell>
        </row>
        <row r="33">
          <cell r="A33" t="str">
            <v>Companygonj</v>
          </cell>
          <cell r="B33">
            <v>7665443.24</v>
          </cell>
          <cell r="C33">
            <v>6889606.01</v>
          </cell>
          <cell r="D33">
            <v>6700716.96</v>
          </cell>
          <cell r="E33">
            <v>29317634.77</v>
          </cell>
          <cell r="F33">
            <v>25323185.63</v>
          </cell>
          <cell r="G33">
            <v>25202046.76</v>
          </cell>
          <cell r="H33">
            <v>2486623.86</v>
          </cell>
          <cell r="I33">
            <v>2527020.53</v>
          </cell>
          <cell r="J33">
            <v>2383024.59</v>
          </cell>
          <cell r="K33">
            <v>268635.47</v>
          </cell>
          <cell r="L33">
            <v>268635.47</v>
          </cell>
          <cell r="M33">
            <v>268635.47</v>
          </cell>
          <cell r="N33">
            <v>247016.77</v>
          </cell>
          <cell r="O33">
            <v>247107.57</v>
          </cell>
          <cell r="P33">
            <v>247016.77</v>
          </cell>
        </row>
        <row r="33">
          <cell r="T33">
            <v>39985354.11</v>
          </cell>
          <cell r="U33">
            <v>35255555.21</v>
          </cell>
          <cell r="V33">
            <v>34801440.55</v>
          </cell>
        </row>
        <row r="34">
          <cell r="A34" t="str">
            <v>Cox's Bazar</v>
          </cell>
          <cell r="B34">
            <v>1003399.6</v>
          </cell>
          <cell r="C34">
            <v>921780.13</v>
          </cell>
          <cell r="D34">
            <v>921190.59</v>
          </cell>
          <cell r="E34">
            <v>3893395.17</v>
          </cell>
          <cell r="F34">
            <v>3139133.43</v>
          </cell>
          <cell r="G34">
            <v>3136107.97</v>
          </cell>
          <cell r="H34">
            <v>4302714.83</v>
          </cell>
          <cell r="I34">
            <v>3424134.65</v>
          </cell>
          <cell r="J34">
            <v>3421929.71</v>
          </cell>
          <cell r="K34">
            <v>918159.78</v>
          </cell>
          <cell r="L34">
            <v>583729.45</v>
          </cell>
          <cell r="M34">
            <v>582365.44</v>
          </cell>
          <cell r="N34">
            <v>313363.65</v>
          </cell>
          <cell r="O34">
            <v>313363.65</v>
          </cell>
          <cell r="P34">
            <v>313363.65</v>
          </cell>
        </row>
        <row r="34">
          <cell r="T34">
            <v>10431033.03</v>
          </cell>
          <cell r="U34">
            <v>8382141.31</v>
          </cell>
          <cell r="V34">
            <v>8374957.36</v>
          </cell>
        </row>
        <row r="35">
          <cell r="A35" t="str">
            <v>Daulatpur</v>
          </cell>
          <cell r="B35">
            <v>742201.97</v>
          </cell>
          <cell r="C35">
            <v>678907.34</v>
          </cell>
          <cell r="D35">
            <v>674465.84</v>
          </cell>
          <cell r="E35">
            <v>9738358.97</v>
          </cell>
          <cell r="F35">
            <v>6007104.35</v>
          </cell>
          <cell r="G35">
            <v>5746215.5</v>
          </cell>
          <cell r="H35">
            <v>10526536.64</v>
          </cell>
          <cell r="I35">
            <v>7953681.9</v>
          </cell>
          <cell r="J35">
            <v>7017223.38</v>
          </cell>
          <cell r="K35">
            <v>4638330.65</v>
          </cell>
          <cell r="L35">
            <v>3890169.21</v>
          </cell>
          <cell r="M35">
            <v>3876334.16</v>
          </cell>
          <cell r="N35">
            <v>2551402.83</v>
          </cell>
          <cell r="O35">
            <v>2595990.1</v>
          </cell>
          <cell r="P35">
            <v>2248191.89</v>
          </cell>
          <cell r="Q35">
            <v>1720153.57</v>
          </cell>
          <cell r="R35">
            <v>1553443.99</v>
          </cell>
          <cell r="S35">
            <v>1553443.99</v>
          </cell>
          <cell r="T35">
            <v>29916984.63</v>
          </cell>
          <cell r="U35">
            <v>22679296.89</v>
          </cell>
          <cell r="V35">
            <v>21115874.76</v>
          </cell>
        </row>
        <row r="36">
          <cell r="A36" t="str">
            <v>DEPZ</v>
          </cell>
          <cell r="B36">
            <v>772371.83</v>
          </cell>
          <cell r="C36">
            <v>486177.51</v>
          </cell>
          <cell r="D36">
            <v>485316.82</v>
          </cell>
          <cell r="E36">
            <v>5771774.64</v>
          </cell>
          <cell r="F36">
            <v>4449130.37</v>
          </cell>
          <cell r="G36">
            <v>4379098.88</v>
          </cell>
          <cell r="H36">
            <v>11293328.78</v>
          </cell>
          <cell r="I36">
            <v>8668988.69</v>
          </cell>
          <cell r="J36">
            <v>8567975.53</v>
          </cell>
          <cell r="K36">
            <v>2899804.4</v>
          </cell>
          <cell r="L36">
            <v>2342380.82</v>
          </cell>
          <cell r="M36">
            <v>2334878</v>
          </cell>
          <cell r="N36">
            <v>1081996.7</v>
          </cell>
          <cell r="O36">
            <v>563085.36</v>
          </cell>
          <cell r="P36">
            <v>429212.17</v>
          </cell>
          <cell r="Q36">
            <v>3718338.92</v>
          </cell>
          <cell r="R36">
            <v>3381567.77</v>
          </cell>
          <cell r="S36">
            <v>3381567.77</v>
          </cell>
          <cell r="T36">
            <v>25537615.27</v>
          </cell>
          <cell r="U36">
            <v>19891330.52</v>
          </cell>
          <cell r="V36">
            <v>19578049.17</v>
          </cell>
        </row>
        <row r="37">
          <cell r="A37" t="str">
            <v>Dhamrai</v>
          </cell>
          <cell r="B37">
            <v>1322462.21</v>
          </cell>
          <cell r="C37">
            <v>1037178.03</v>
          </cell>
          <cell r="D37">
            <v>1013494.41</v>
          </cell>
          <cell r="E37">
            <v>14350935.41</v>
          </cell>
          <cell r="F37">
            <v>8225469.32</v>
          </cell>
          <cell r="G37">
            <v>7417512.89</v>
          </cell>
          <cell r="H37">
            <v>7127574.92</v>
          </cell>
          <cell r="I37">
            <v>4323980.84</v>
          </cell>
          <cell r="J37">
            <v>3898606.25</v>
          </cell>
          <cell r="K37">
            <v>1677771.62</v>
          </cell>
          <cell r="L37">
            <v>942300.23</v>
          </cell>
          <cell r="M37">
            <v>940718.29</v>
          </cell>
          <cell r="N37">
            <v>1139778.18</v>
          </cell>
          <cell r="O37">
            <v>869983.63</v>
          </cell>
          <cell r="P37">
            <v>766237.41</v>
          </cell>
          <cell r="Q37">
            <v>921714</v>
          </cell>
          <cell r="R37">
            <v>921714</v>
          </cell>
          <cell r="S37">
            <v>921714</v>
          </cell>
          <cell r="T37">
            <v>26540236.34</v>
          </cell>
          <cell r="U37">
            <v>16320626.05</v>
          </cell>
          <cell r="V37">
            <v>14958283.25</v>
          </cell>
        </row>
        <row r="38">
          <cell r="A38" t="str">
            <v>Dinajpur</v>
          </cell>
          <cell r="B38">
            <v>2248933.46</v>
          </cell>
          <cell r="C38">
            <v>2053637.31</v>
          </cell>
          <cell r="D38">
            <v>2014810.63</v>
          </cell>
          <cell r="E38">
            <v>8256319.26</v>
          </cell>
          <cell r="F38">
            <v>5403072.16</v>
          </cell>
          <cell r="G38">
            <v>5302567.31</v>
          </cell>
          <cell r="H38">
            <v>9933210.44</v>
          </cell>
          <cell r="I38">
            <v>8434572.5</v>
          </cell>
          <cell r="J38">
            <v>8420158.54</v>
          </cell>
          <cell r="K38">
            <v>6740907.92</v>
          </cell>
          <cell r="L38">
            <v>2914324.01</v>
          </cell>
          <cell r="M38">
            <v>2912285.4</v>
          </cell>
          <cell r="N38">
            <v>5842494.01</v>
          </cell>
          <cell r="O38">
            <v>5798547.49</v>
          </cell>
          <cell r="P38">
            <v>5439540.8</v>
          </cell>
          <cell r="Q38">
            <v>3840676.42</v>
          </cell>
          <cell r="R38">
            <v>2831082.89</v>
          </cell>
          <cell r="S38">
            <v>2831041.36</v>
          </cell>
          <cell r="T38">
            <v>36862541.51</v>
          </cell>
          <cell r="U38">
            <v>27435236.36</v>
          </cell>
          <cell r="V38">
            <v>26920404.04</v>
          </cell>
        </row>
        <row r="39">
          <cell r="A39" t="str">
            <v>Elephant Road</v>
          </cell>
          <cell r="B39">
            <v>874827.01</v>
          </cell>
          <cell r="C39">
            <v>515938.13</v>
          </cell>
          <cell r="D39">
            <v>478567.83</v>
          </cell>
          <cell r="E39">
            <v>13384691.46</v>
          </cell>
          <cell r="F39">
            <v>4838785.86</v>
          </cell>
          <cell r="G39">
            <v>4662007.57</v>
          </cell>
          <cell r="H39">
            <v>32668390.84</v>
          </cell>
          <cell r="I39">
            <v>19696991.41</v>
          </cell>
          <cell r="J39">
            <v>18295994.48</v>
          </cell>
          <cell r="K39">
            <v>7798780.45</v>
          </cell>
          <cell r="L39">
            <v>4855508.04</v>
          </cell>
          <cell r="M39">
            <v>4665508.85</v>
          </cell>
          <cell r="N39">
            <v>7174558.47</v>
          </cell>
          <cell r="O39">
            <v>6448872.63</v>
          </cell>
          <cell r="P39">
            <v>6444007.21</v>
          </cell>
          <cell r="Q39">
            <v>11711823.44</v>
          </cell>
          <cell r="R39">
            <v>7241217.3</v>
          </cell>
          <cell r="S39">
            <v>7035153.22</v>
          </cell>
          <cell r="T39">
            <v>73613071.67</v>
          </cell>
          <cell r="U39">
            <v>43597313.37</v>
          </cell>
          <cell r="V39">
            <v>41581239.16</v>
          </cell>
        </row>
        <row r="40">
          <cell r="A40" t="str">
            <v>Faridpur</v>
          </cell>
          <cell r="B40">
            <v>5849679.13</v>
          </cell>
          <cell r="C40">
            <v>4784062.57</v>
          </cell>
          <cell r="D40">
            <v>4694201.05</v>
          </cell>
          <cell r="E40">
            <v>19527989.65</v>
          </cell>
          <cell r="F40">
            <v>13637811.21</v>
          </cell>
          <cell r="G40">
            <v>13329039.49</v>
          </cell>
          <cell r="H40">
            <v>7671928.17</v>
          </cell>
          <cell r="I40">
            <v>5532901.34</v>
          </cell>
          <cell r="J40">
            <v>5513919</v>
          </cell>
          <cell r="K40">
            <v>884167.07</v>
          </cell>
          <cell r="L40">
            <v>884433.27</v>
          </cell>
          <cell r="M40">
            <v>884167.07</v>
          </cell>
        </row>
        <row r="40">
          <cell r="T40">
            <v>33933764.02</v>
          </cell>
          <cell r="U40">
            <v>24839208.39</v>
          </cell>
          <cell r="V40">
            <v>24421326.61</v>
          </cell>
        </row>
        <row r="41">
          <cell r="A41" t="str">
            <v>Fatullah</v>
          </cell>
          <cell r="B41">
            <v>1067101.55</v>
          </cell>
          <cell r="C41">
            <v>783803.78</v>
          </cell>
          <cell r="D41">
            <v>721101.33</v>
          </cell>
          <cell r="E41">
            <v>13619336.66</v>
          </cell>
          <cell r="F41">
            <v>10319822.98</v>
          </cell>
          <cell r="G41">
            <v>9709398.75</v>
          </cell>
          <cell r="H41">
            <v>6394660.98</v>
          </cell>
          <cell r="I41">
            <v>5671814.28</v>
          </cell>
          <cell r="J41">
            <v>5287557.13</v>
          </cell>
          <cell r="K41">
            <v>2323831.57</v>
          </cell>
          <cell r="L41">
            <v>1958485.61</v>
          </cell>
          <cell r="M41">
            <v>1952369.39</v>
          </cell>
          <cell r="N41">
            <v>987161.78</v>
          </cell>
          <cell r="O41">
            <v>987161.78</v>
          </cell>
          <cell r="P41">
            <v>987161.78</v>
          </cell>
          <cell r="Q41">
            <v>424191.09</v>
          </cell>
          <cell r="R41">
            <v>425603.03</v>
          </cell>
          <cell r="S41">
            <v>424191.09</v>
          </cell>
          <cell r="T41">
            <v>24816283.63</v>
          </cell>
          <cell r="U41">
            <v>20146691.46</v>
          </cell>
          <cell r="V41">
            <v>19081779.47</v>
          </cell>
        </row>
        <row r="42">
          <cell r="A42" t="str">
            <v>Feni</v>
          </cell>
          <cell r="B42">
            <v>2412412.29</v>
          </cell>
          <cell r="C42">
            <v>1853855.39</v>
          </cell>
          <cell r="D42">
            <v>1779247.51</v>
          </cell>
          <cell r="E42">
            <v>27419853.57</v>
          </cell>
          <cell r="F42">
            <v>23546535.58</v>
          </cell>
          <cell r="G42">
            <v>22615909.68</v>
          </cell>
          <cell r="H42">
            <v>11283983.33</v>
          </cell>
          <cell r="I42">
            <v>9496437.94</v>
          </cell>
          <cell r="J42">
            <v>9327979.53</v>
          </cell>
          <cell r="K42">
            <v>4035620.52</v>
          </cell>
          <cell r="L42">
            <v>4037974.86</v>
          </cell>
          <cell r="M42">
            <v>4035620.52</v>
          </cell>
          <cell r="N42">
            <v>2309250.59</v>
          </cell>
          <cell r="O42">
            <v>2312156.5</v>
          </cell>
          <cell r="P42">
            <v>2309250.59</v>
          </cell>
          <cell r="Q42">
            <v>2085906.67</v>
          </cell>
          <cell r="R42">
            <v>2087867.83</v>
          </cell>
          <cell r="S42">
            <v>2085906.67</v>
          </cell>
          <cell r="T42">
            <v>49547026.97</v>
          </cell>
          <cell r="U42">
            <v>43334828.1</v>
          </cell>
          <cell r="V42">
            <v>42153914.5</v>
          </cell>
        </row>
        <row r="43">
          <cell r="A43" t="str">
            <v>Fulbari</v>
          </cell>
          <cell r="B43">
            <v>1830902.21</v>
          </cell>
          <cell r="C43">
            <v>1474904.08</v>
          </cell>
          <cell r="D43">
            <v>1473845.68</v>
          </cell>
          <cell r="E43">
            <v>5352363.87</v>
          </cell>
          <cell r="F43">
            <v>4542888.57</v>
          </cell>
          <cell r="G43">
            <v>4530632.31</v>
          </cell>
          <cell r="H43">
            <v>5532431.38</v>
          </cell>
          <cell r="I43">
            <v>5234818.24</v>
          </cell>
          <cell r="J43">
            <v>5181435.65</v>
          </cell>
          <cell r="K43">
            <v>3124488.49</v>
          </cell>
          <cell r="L43">
            <v>2047222.37</v>
          </cell>
          <cell r="M43">
            <v>2046878.75</v>
          </cell>
          <cell r="N43">
            <v>1267063.98</v>
          </cell>
          <cell r="O43">
            <v>1267063.98</v>
          </cell>
          <cell r="P43">
            <v>1267063.98</v>
          </cell>
        </row>
        <row r="43">
          <cell r="T43">
            <v>17107249.93</v>
          </cell>
          <cell r="U43">
            <v>14566897.24</v>
          </cell>
          <cell r="V43">
            <v>14499856.37</v>
          </cell>
        </row>
        <row r="44">
          <cell r="A44" t="str">
            <v>Gaibandha</v>
          </cell>
          <cell r="B44">
            <v>2503064.45</v>
          </cell>
          <cell r="C44">
            <v>1777441.62</v>
          </cell>
          <cell r="D44">
            <v>1752380.68</v>
          </cell>
          <cell r="E44">
            <v>9423510.78</v>
          </cell>
          <cell r="F44">
            <v>7345207.21</v>
          </cell>
          <cell r="G44">
            <v>7333688.64</v>
          </cell>
          <cell r="H44">
            <v>8526566.43</v>
          </cell>
          <cell r="I44">
            <v>7604574.68</v>
          </cell>
          <cell r="J44">
            <v>7597823.3</v>
          </cell>
          <cell r="K44">
            <v>1595391.73</v>
          </cell>
          <cell r="L44">
            <v>1596995.26</v>
          </cell>
          <cell r="M44">
            <v>1595391.73</v>
          </cell>
          <cell r="N44">
            <v>3596622</v>
          </cell>
          <cell r="O44">
            <v>3648099.15</v>
          </cell>
          <cell r="P44">
            <v>3171282.5</v>
          </cell>
          <cell r="Q44">
            <v>464550.1</v>
          </cell>
          <cell r="R44">
            <v>465150.1</v>
          </cell>
          <cell r="S44">
            <v>464550.1</v>
          </cell>
          <cell r="T44">
            <v>26109705.49</v>
          </cell>
          <cell r="U44">
            <v>22437468.02</v>
          </cell>
          <cell r="V44">
            <v>21915116.95</v>
          </cell>
        </row>
        <row r="45">
          <cell r="A45" t="str">
            <v>Gazipur</v>
          </cell>
          <cell r="B45">
            <v>394678.54</v>
          </cell>
          <cell r="C45">
            <v>212088.37</v>
          </cell>
          <cell r="D45">
            <v>211846.78</v>
          </cell>
          <cell r="E45">
            <v>9827002.45</v>
          </cell>
          <cell r="F45">
            <v>5336362.58</v>
          </cell>
          <cell r="G45">
            <v>5220196.18</v>
          </cell>
          <cell r="H45">
            <v>14262723.68</v>
          </cell>
          <cell r="I45">
            <v>11015386.75</v>
          </cell>
          <cell r="J45">
            <v>10471458.8</v>
          </cell>
          <cell r="K45">
            <v>4021597.96</v>
          </cell>
          <cell r="L45">
            <v>3636918.95</v>
          </cell>
          <cell r="M45">
            <v>3618228.04</v>
          </cell>
          <cell r="N45">
            <v>1427963.38</v>
          </cell>
          <cell r="O45">
            <v>1588435.39</v>
          </cell>
          <cell r="P45">
            <v>1427963.38</v>
          </cell>
          <cell r="Q45">
            <v>3025608.34</v>
          </cell>
          <cell r="R45">
            <v>3065941.3</v>
          </cell>
          <cell r="S45">
            <v>2644143.42</v>
          </cell>
          <cell r="T45">
            <v>32959574.35</v>
          </cell>
          <cell r="U45">
            <v>24855133.34</v>
          </cell>
          <cell r="V45">
            <v>23593836.6</v>
          </cell>
        </row>
        <row r="46">
          <cell r="A46" t="str">
            <v>Ghatail</v>
          </cell>
          <cell r="B46">
            <v>2147288.19</v>
          </cell>
          <cell r="C46">
            <v>981184.01</v>
          </cell>
          <cell r="D46">
            <v>975966.62</v>
          </cell>
          <cell r="E46">
            <v>9149605.97</v>
          </cell>
          <cell r="F46">
            <v>7731787.18</v>
          </cell>
          <cell r="G46">
            <v>7570516.32</v>
          </cell>
          <cell r="H46">
            <v>5539692.01</v>
          </cell>
          <cell r="I46">
            <v>5041901.23</v>
          </cell>
          <cell r="J46">
            <v>5019978.95</v>
          </cell>
          <cell r="K46">
            <v>1320307.2</v>
          </cell>
          <cell r="L46">
            <v>2295335.94</v>
          </cell>
          <cell r="M46">
            <v>1320307.2</v>
          </cell>
          <cell r="N46">
            <v>2671487.9</v>
          </cell>
          <cell r="O46">
            <v>3275948.63</v>
          </cell>
          <cell r="P46">
            <v>2671487.9</v>
          </cell>
          <cell r="Q46">
            <v>2419375.95</v>
          </cell>
          <cell r="R46">
            <v>2420514.8</v>
          </cell>
          <cell r="S46">
            <v>2419375.95</v>
          </cell>
          <cell r="T46">
            <v>23247757.22</v>
          </cell>
          <cell r="U46">
            <v>21746671.79</v>
          </cell>
          <cell r="V46">
            <v>19977632.94</v>
          </cell>
        </row>
        <row r="47">
          <cell r="A47" t="str">
            <v>Gopalgonj</v>
          </cell>
          <cell r="B47">
            <v>3635790.34</v>
          </cell>
          <cell r="C47">
            <v>1377967.62</v>
          </cell>
          <cell r="D47">
            <v>1279148.12</v>
          </cell>
          <cell r="E47">
            <v>15105642.42</v>
          </cell>
          <cell r="F47">
            <v>10227309.67</v>
          </cell>
          <cell r="G47">
            <v>10121262.47</v>
          </cell>
          <cell r="H47">
            <v>12484574.25</v>
          </cell>
          <cell r="I47">
            <v>6927343.52</v>
          </cell>
          <cell r="J47">
            <v>6902158.21</v>
          </cell>
          <cell r="K47">
            <v>2301580.71</v>
          </cell>
          <cell r="L47">
            <v>2018728.64</v>
          </cell>
          <cell r="M47">
            <v>2013503.41</v>
          </cell>
          <cell r="N47">
            <v>2709689.18</v>
          </cell>
          <cell r="O47">
            <v>2712098.18</v>
          </cell>
          <cell r="P47">
            <v>2709689.18</v>
          </cell>
          <cell r="Q47">
            <v>36571952.36</v>
          </cell>
          <cell r="R47">
            <v>315286.59</v>
          </cell>
          <cell r="S47">
            <v>315286.59</v>
          </cell>
          <cell r="T47">
            <v>72809229.26</v>
          </cell>
          <cell r="U47">
            <v>23578734.22</v>
          </cell>
          <cell r="V47">
            <v>23341047.98</v>
          </cell>
        </row>
        <row r="48">
          <cell r="A48" t="str">
            <v>Gulistan</v>
          </cell>
          <cell r="B48">
            <v>186519.52</v>
          </cell>
          <cell r="C48">
            <v>144852.86</v>
          </cell>
          <cell r="D48">
            <v>144852.86</v>
          </cell>
          <cell r="E48">
            <v>7646300.52</v>
          </cell>
          <cell r="F48">
            <v>3866697.14</v>
          </cell>
          <cell r="G48">
            <v>3768954.78</v>
          </cell>
          <cell r="H48">
            <v>33445401.78</v>
          </cell>
          <cell r="I48">
            <v>17780621.47</v>
          </cell>
          <cell r="J48">
            <v>17644343.95</v>
          </cell>
          <cell r="K48">
            <v>6381071.76</v>
          </cell>
          <cell r="L48">
            <v>2877631.78</v>
          </cell>
          <cell r="M48">
            <v>2876797.22</v>
          </cell>
          <cell r="N48">
            <v>8455452.44</v>
          </cell>
          <cell r="O48">
            <v>7237746.14</v>
          </cell>
          <cell r="P48">
            <v>6872502.48</v>
          </cell>
          <cell r="Q48">
            <v>5428492.24</v>
          </cell>
          <cell r="R48">
            <v>4254448.37</v>
          </cell>
          <cell r="S48">
            <v>4252395.7</v>
          </cell>
          <cell r="T48">
            <v>61543238.26</v>
          </cell>
          <cell r="U48">
            <v>36161997.76</v>
          </cell>
          <cell r="V48">
            <v>35559846.99</v>
          </cell>
        </row>
        <row r="49">
          <cell r="A49" t="str">
            <v>Halishahar</v>
          </cell>
          <cell r="B49">
            <v>729236.33</v>
          </cell>
          <cell r="C49">
            <v>556561.57</v>
          </cell>
          <cell r="D49">
            <v>555380.24</v>
          </cell>
          <cell r="E49">
            <v>7464025.71</v>
          </cell>
          <cell r="F49">
            <v>6022285.27</v>
          </cell>
          <cell r="G49">
            <v>5934799.92</v>
          </cell>
          <cell r="H49">
            <v>12791267.39</v>
          </cell>
          <cell r="I49">
            <v>10381951.17</v>
          </cell>
          <cell r="J49">
            <v>10106117.92</v>
          </cell>
          <cell r="K49">
            <v>3319610.76</v>
          </cell>
          <cell r="L49">
            <v>3253893.99</v>
          </cell>
          <cell r="M49">
            <v>3036354.72</v>
          </cell>
          <cell r="N49">
            <v>4323141.27</v>
          </cell>
          <cell r="O49">
            <v>3301247.19</v>
          </cell>
          <cell r="P49">
            <v>3296946.33</v>
          </cell>
          <cell r="Q49">
            <v>945480.55</v>
          </cell>
          <cell r="R49">
            <v>945693.27</v>
          </cell>
          <cell r="S49">
            <v>945480.55</v>
          </cell>
          <cell r="T49">
            <v>29572762.01</v>
          </cell>
          <cell r="U49">
            <v>24461632.46</v>
          </cell>
          <cell r="V49">
            <v>23875079.68</v>
          </cell>
        </row>
        <row r="50">
          <cell r="A50" t="str">
            <v>Hasnabad</v>
          </cell>
          <cell r="B50">
            <v>2542011.18</v>
          </cell>
          <cell r="C50">
            <v>1288476.06</v>
          </cell>
          <cell r="D50">
            <v>1161555.88</v>
          </cell>
          <cell r="E50">
            <v>15761562.38</v>
          </cell>
          <cell r="F50">
            <v>10438344.2</v>
          </cell>
          <cell r="G50">
            <v>10011959.21</v>
          </cell>
          <cell r="H50">
            <v>8951813.01</v>
          </cell>
          <cell r="I50">
            <v>5796498.61</v>
          </cell>
          <cell r="J50">
            <v>5402094.78</v>
          </cell>
          <cell r="K50">
            <v>2386537.31</v>
          </cell>
          <cell r="L50">
            <v>2566027.61</v>
          </cell>
          <cell r="M50">
            <v>1993984.66</v>
          </cell>
          <cell r="N50">
            <v>4920218.63</v>
          </cell>
          <cell r="O50">
            <v>2878791.97</v>
          </cell>
          <cell r="P50">
            <v>2407280.88</v>
          </cell>
          <cell r="Q50">
            <v>3327620.06</v>
          </cell>
          <cell r="R50">
            <v>2751828.46</v>
          </cell>
          <cell r="S50">
            <v>2367922.95</v>
          </cell>
          <cell r="T50">
            <v>37889762.57</v>
          </cell>
          <cell r="U50">
            <v>25719966.91</v>
          </cell>
          <cell r="V50">
            <v>23344798.36</v>
          </cell>
        </row>
        <row r="51">
          <cell r="A51" t="str">
            <v>Hathazari</v>
          </cell>
          <cell r="B51">
            <v>2039478.08</v>
          </cell>
          <cell r="C51">
            <v>983879.69</v>
          </cell>
          <cell r="D51">
            <v>983186.68</v>
          </cell>
          <cell r="E51">
            <v>14659413.9</v>
          </cell>
          <cell r="F51">
            <v>10539842.35</v>
          </cell>
          <cell r="G51">
            <v>10221984.04</v>
          </cell>
          <cell r="H51">
            <v>20068003.38</v>
          </cell>
          <cell r="I51">
            <v>11107520.07</v>
          </cell>
          <cell r="J51">
            <v>10908788.5</v>
          </cell>
          <cell r="K51">
            <v>6024076.93</v>
          </cell>
          <cell r="L51">
            <v>4888906.7</v>
          </cell>
          <cell r="M51">
            <v>4611392.16</v>
          </cell>
          <cell r="N51">
            <v>2147831.5</v>
          </cell>
          <cell r="O51">
            <v>2150020.26</v>
          </cell>
          <cell r="P51">
            <v>2147831.5</v>
          </cell>
          <cell r="Q51">
            <v>874372.9</v>
          </cell>
          <cell r="R51">
            <v>874838.38</v>
          </cell>
          <cell r="S51">
            <v>874372.9</v>
          </cell>
          <cell r="T51">
            <v>45813176.69</v>
          </cell>
          <cell r="U51">
            <v>30545007.45</v>
          </cell>
          <cell r="V51">
            <v>29747555.78</v>
          </cell>
        </row>
        <row r="52">
          <cell r="A52" t="str">
            <v>Hazigonj</v>
          </cell>
          <cell r="B52">
            <v>2905211.1</v>
          </cell>
          <cell r="C52">
            <v>1951989.92</v>
          </cell>
          <cell r="D52">
            <v>1948598.37</v>
          </cell>
          <cell r="E52">
            <v>17556975.68</v>
          </cell>
          <cell r="F52">
            <v>12952669.76</v>
          </cell>
          <cell r="G52">
            <v>12619430.93</v>
          </cell>
          <cell r="H52">
            <v>11910849.23</v>
          </cell>
          <cell r="I52">
            <v>8074395.82</v>
          </cell>
          <cell r="J52">
            <v>8058984.91</v>
          </cell>
          <cell r="K52">
            <v>5813337.79</v>
          </cell>
          <cell r="L52">
            <v>3145169.66</v>
          </cell>
          <cell r="M52">
            <v>2935663.11</v>
          </cell>
          <cell r="N52">
            <v>1036588.52</v>
          </cell>
          <cell r="O52">
            <v>1036799.13</v>
          </cell>
          <cell r="P52">
            <v>1036588.52</v>
          </cell>
          <cell r="Q52">
            <v>978804.01</v>
          </cell>
          <cell r="R52">
            <v>980414.8</v>
          </cell>
          <cell r="S52">
            <v>978804.01</v>
          </cell>
          <cell r="T52">
            <v>40201766.33</v>
          </cell>
          <cell r="U52">
            <v>28141439.09</v>
          </cell>
          <cell r="V52">
            <v>27578069.85</v>
          </cell>
        </row>
        <row r="53">
          <cell r="A53" t="str">
            <v>Hobigonj</v>
          </cell>
          <cell r="B53">
            <v>10041338.23</v>
          </cell>
          <cell r="C53">
            <v>8562038.95</v>
          </cell>
          <cell r="D53">
            <v>8406168.67000001</v>
          </cell>
          <cell r="E53">
            <v>21393415.33</v>
          </cell>
          <cell r="F53">
            <v>18178178.01</v>
          </cell>
          <cell r="G53">
            <v>17833656.87</v>
          </cell>
          <cell r="H53">
            <v>2355361.81</v>
          </cell>
          <cell r="I53">
            <v>1853956.95</v>
          </cell>
          <cell r="J53">
            <v>1851816.63</v>
          </cell>
          <cell r="K53">
            <v>239244</v>
          </cell>
          <cell r="L53">
            <v>239244</v>
          </cell>
          <cell r="M53">
            <v>239244</v>
          </cell>
          <cell r="N53">
            <v>1415859.69</v>
          </cell>
          <cell r="O53">
            <v>145000</v>
          </cell>
          <cell r="P53">
            <v>145000</v>
          </cell>
        </row>
        <row r="53">
          <cell r="T53">
            <v>35445219.06</v>
          </cell>
          <cell r="U53">
            <v>28978417.91</v>
          </cell>
          <cell r="V53">
            <v>28475886.17</v>
          </cell>
        </row>
        <row r="54">
          <cell r="A54" t="str">
            <v>Imamgonj</v>
          </cell>
          <cell r="B54">
            <v>729323.6</v>
          </cell>
          <cell r="C54">
            <v>439069.31</v>
          </cell>
          <cell r="D54">
            <v>415946.08</v>
          </cell>
          <cell r="E54">
            <v>6999849.45</v>
          </cell>
          <cell r="F54">
            <v>5504757.44</v>
          </cell>
          <cell r="G54">
            <v>5371162.89</v>
          </cell>
          <cell r="H54">
            <v>15537709.77</v>
          </cell>
          <cell r="I54">
            <v>14288177.49</v>
          </cell>
          <cell r="J54">
            <v>14236748.1</v>
          </cell>
          <cell r="K54">
            <v>6677204.26</v>
          </cell>
          <cell r="L54">
            <v>6546427.76</v>
          </cell>
          <cell r="M54">
            <v>6531528.15</v>
          </cell>
          <cell r="N54">
            <v>8941179.41</v>
          </cell>
          <cell r="O54">
            <v>8948722.25</v>
          </cell>
          <cell r="P54">
            <v>8745857.7</v>
          </cell>
          <cell r="Q54">
            <v>8556441.81</v>
          </cell>
          <cell r="R54">
            <v>7723096.59</v>
          </cell>
          <cell r="S54">
            <v>7704046.81</v>
          </cell>
          <cell r="T54">
            <v>47441708.3</v>
          </cell>
          <cell r="U54">
            <v>43450250.84</v>
          </cell>
          <cell r="V54">
            <v>43005289.73</v>
          </cell>
        </row>
        <row r="55">
          <cell r="A55" t="str">
            <v>Ishwardi</v>
          </cell>
          <cell r="B55">
            <v>1406911.5</v>
          </cell>
          <cell r="C55">
            <v>632188.99</v>
          </cell>
          <cell r="D55">
            <v>631623.39</v>
          </cell>
          <cell r="E55">
            <v>11932341.43</v>
          </cell>
          <cell r="F55">
            <v>7703494.66</v>
          </cell>
          <cell r="G55">
            <v>7512171.34000001</v>
          </cell>
          <cell r="H55">
            <v>17655879.59</v>
          </cell>
          <cell r="I55">
            <v>12960917.21</v>
          </cell>
          <cell r="J55">
            <v>12658969.25</v>
          </cell>
          <cell r="K55">
            <v>4598677.74</v>
          </cell>
          <cell r="L55">
            <v>3563300.53</v>
          </cell>
          <cell r="M55">
            <v>3560356.79</v>
          </cell>
          <cell r="N55">
            <v>8312409.61</v>
          </cell>
          <cell r="O55">
            <v>7836197.49</v>
          </cell>
          <cell r="P55">
            <v>7833060.92</v>
          </cell>
          <cell r="Q55">
            <v>7876794.03</v>
          </cell>
          <cell r="R55">
            <v>3799332.96</v>
          </cell>
          <cell r="S55">
            <v>3623653.79</v>
          </cell>
          <cell r="T55">
            <v>51783013.9</v>
          </cell>
          <cell r="U55">
            <v>36495431.84</v>
          </cell>
          <cell r="V55">
            <v>35819835.48</v>
          </cell>
        </row>
        <row r="56">
          <cell r="A56" t="str">
            <v>Islambagh</v>
          </cell>
          <cell r="B56">
            <v>689073.78</v>
          </cell>
          <cell r="C56">
            <v>443859.67</v>
          </cell>
          <cell r="D56">
            <v>443538.94</v>
          </cell>
          <cell r="E56">
            <v>7266751.22</v>
          </cell>
          <cell r="F56">
            <v>4774273.3</v>
          </cell>
          <cell r="G56">
            <v>4768915.99</v>
          </cell>
          <cell r="H56">
            <v>10840913.46</v>
          </cell>
          <cell r="I56">
            <v>9673240.49</v>
          </cell>
          <cell r="J56">
            <v>9659212.75</v>
          </cell>
          <cell r="K56">
            <v>5083210.26</v>
          </cell>
          <cell r="L56">
            <v>4776625.66</v>
          </cell>
          <cell r="M56">
            <v>4772117.42</v>
          </cell>
          <cell r="N56">
            <v>6241442.5</v>
          </cell>
          <cell r="O56">
            <v>5750960.54</v>
          </cell>
          <cell r="P56">
            <v>5749861.76</v>
          </cell>
          <cell r="Q56">
            <v>4802059.03</v>
          </cell>
          <cell r="R56">
            <v>4803079.51</v>
          </cell>
          <cell r="S56">
            <v>4802059.03</v>
          </cell>
          <cell r="T56">
            <v>34923450.25</v>
          </cell>
          <cell r="U56">
            <v>30222039.17</v>
          </cell>
          <cell r="V56">
            <v>30195705.89</v>
          </cell>
        </row>
        <row r="57">
          <cell r="A57" t="str">
            <v>Islampur Road</v>
          </cell>
          <cell r="B57">
            <v>806225.51</v>
          </cell>
          <cell r="C57">
            <v>276244.16</v>
          </cell>
          <cell r="D57">
            <v>274914.9</v>
          </cell>
          <cell r="E57">
            <v>32171365.83</v>
          </cell>
          <cell r="F57">
            <v>18480328.56</v>
          </cell>
          <cell r="G57">
            <v>17099090.68</v>
          </cell>
          <cell r="H57">
            <v>34301728.25</v>
          </cell>
          <cell r="I57">
            <v>28967696.7</v>
          </cell>
          <cell r="J57">
            <v>24873506.23</v>
          </cell>
          <cell r="K57">
            <v>10568806.81</v>
          </cell>
          <cell r="L57">
            <v>7028969.74</v>
          </cell>
          <cell r="M57">
            <v>7023975.59</v>
          </cell>
          <cell r="N57">
            <v>7363612.45</v>
          </cell>
          <cell r="O57">
            <v>5773794.68</v>
          </cell>
          <cell r="P57">
            <v>5760969.22</v>
          </cell>
          <cell r="Q57">
            <v>6260287.89</v>
          </cell>
          <cell r="R57">
            <v>5062769.34</v>
          </cell>
          <cell r="S57">
            <v>5060658.21</v>
          </cell>
          <cell r="T57">
            <v>91472026.74</v>
          </cell>
          <cell r="U57">
            <v>65589803.18</v>
          </cell>
          <cell r="V57">
            <v>60093114.83</v>
          </cell>
        </row>
        <row r="58">
          <cell r="A58" t="str">
            <v>Jamalpur</v>
          </cell>
          <cell r="B58">
            <v>198315.63</v>
          </cell>
          <cell r="C58">
            <v>198631.66</v>
          </cell>
          <cell r="D58">
            <v>198315.63</v>
          </cell>
          <cell r="E58">
            <v>2569606.72</v>
          </cell>
          <cell r="F58">
            <v>2425379.42</v>
          </cell>
          <cell r="G58">
            <v>2423903.49</v>
          </cell>
          <cell r="H58">
            <v>2190944.06</v>
          </cell>
          <cell r="I58">
            <v>2021754.33</v>
          </cell>
          <cell r="J58">
            <v>2019154.8</v>
          </cell>
        </row>
        <row r="58">
          <cell r="T58">
            <v>4958866.41</v>
          </cell>
          <cell r="U58">
            <v>4645765.41</v>
          </cell>
          <cell r="V58">
            <v>4641373.92</v>
          </cell>
        </row>
        <row r="59">
          <cell r="A59" t="str">
            <v>Jatrabari</v>
          </cell>
          <cell r="B59">
            <v>1882457.73</v>
          </cell>
          <cell r="C59">
            <v>312784.84</v>
          </cell>
          <cell r="D59">
            <v>269988.28</v>
          </cell>
          <cell r="E59">
            <v>14464780.4</v>
          </cell>
          <cell r="F59">
            <v>10121987.85</v>
          </cell>
          <cell r="G59">
            <v>9971439.55</v>
          </cell>
          <cell r="H59">
            <v>21168072.07</v>
          </cell>
          <cell r="I59">
            <v>15464028.28</v>
          </cell>
          <cell r="J59">
            <v>14781750.31</v>
          </cell>
          <cell r="K59">
            <v>7831839.43</v>
          </cell>
          <cell r="L59">
            <v>5046513.82</v>
          </cell>
          <cell r="M59">
            <v>4926728.15</v>
          </cell>
          <cell r="N59">
            <v>4499206.62</v>
          </cell>
          <cell r="O59">
            <v>3223768.64</v>
          </cell>
          <cell r="P59">
            <v>3218986.95</v>
          </cell>
          <cell r="Q59">
            <v>4256247.84</v>
          </cell>
          <cell r="R59">
            <v>3569438.69</v>
          </cell>
          <cell r="S59">
            <v>3568048.84</v>
          </cell>
          <cell r="T59">
            <v>54102604.09</v>
          </cell>
          <cell r="U59">
            <v>37738522.12</v>
          </cell>
          <cell r="V59">
            <v>36736942.08</v>
          </cell>
        </row>
        <row r="60">
          <cell r="A60" t="str">
            <v>Jessore</v>
          </cell>
          <cell r="B60">
            <v>2114407.63</v>
          </cell>
          <cell r="C60">
            <v>1276647.3</v>
          </cell>
          <cell r="D60">
            <v>1211858.32</v>
          </cell>
          <cell r="E60">
            <v>17372292.14</v>
          </cell>
          <cell r="F60">
            <v>11981630.53</v>
          </cell>
          <cell r="G60">
            <v>11407629.85</v>
          </cell>
          <cell r="H60">
            <v>29393319.11</v>
          </cell>
          <cell r="I60">
            <v>20335307.16</v>
          </cell>
          <cell r="J60">
            <v>20151326.79</v>
          </cell>
          <cell r="K60">
            <v>7008651.2</v>
          </cell>
          <cell r="L60">
            <v>5176785.77</v>
          </cell>
          <cell r="M60">
            <v>5173342.19</v>
          </cell>
          <cell r="N60">
            <v>7280191.23</v>
          </cell>
          <cell r="O60">
            <v>6209622.63</v>
          </cell>
          <cell r="P60">
            <v>6187945.15</v>
          </cell>
          <cell r="Q60">
            <v>1093732.52</v>
          </cell>
          <cell r="R60">
            <v>1093933.65</v>
          </cell>
          <cell r="S60">
            <v>1093732.52</v>
          </cell>
          <cell r="T60">
            <v>64262593.83</v>
          </cell>
          <cell r="U60">
            <v>46073927.04</v>
          </cell>
          <cell r="V60">
            <v>45225834.82</v>
          </cell>
        </row>
        <row r="61">
          <cell r="A61" t="str">
            <v>Jhenaidah</v>
          </cell>
          <cell r="B61">
            <v>2726318.84</v>
          </cell>
          <cell r="C61">
            <v>1697074.01</v>
          </cell>
          <cell r="D61">
            <v>1624770.28</v>
          </cell>
          <cell r="E61">
            <v>9096342.8</v>
          </cell>
          <cell r="F61">
            <v>6886389.5</v>
          </cell>
          <cell r="G61">
            <v>6667258.83</v>
          </cell>
          <cell r="H61">
            <v>15703381.84</v>
          </cell>
          <cell r="I61">
            <v>13250303.33</v>
          </cell>
          <cell r="J61">
            <v>13111804.67</v>
          </cell>
          <cell r="K61">
            <v>2717340.82</v>
          </cell>
          <cell r="L61">
            <v>2532948.27</v>
          </cell>
          <cell r="M61">
            <v>2453269.96</v>
          </cell>
          <cell r="N61">
            <v>1116946.74</v>
          </cell>
          <cell r="O61">
            <v>1117367.87</v>
          </cell>
          <cell r="P61">
            <v>1116946.74</v>
          </cell>
          <cell r="Q61">
            <v>1405817.29</v>
          </cell>
          <cell r="R61">
            <v>1407531.48</v>
          </cell>
          <cell r="S61">
            <v>1405817.29</v>
          </cell>
          <cell r="T61">
            <v>32766148.33</v>
          </cell>
          <cell r="U61">
            <v>26891614.46</v>
          </cell>
          <cell r="V61">
            <v>26379867.77</v>
          </cell>
        </row>
        <row r="62">
          <cell r="A62" t="str">
            <v>Jikorgacha</v>
          </cell>
          <cell r="B62">
            <v>2835273.15</v>
          </cell>
          <cell r="C62">
            <v>2098468.17</v>
          </cell>
          <cell r="D62">
            <v>2088416.65</v>
          </cell>
          <cell r="E62">
            <v>13016299.68</v>
          </cell>
          <cell r="F62">
            <v>8912866.41</v>
          </cell>
          <cell r="G62">
            <v>8595288.88</v>
          </cell>
          <cell r="H62">
            <v>16596060.72</v>
          </cell>
          <cell r="I62">
            <v>13762269.61</v>
          </cell>
          <cell r="J62">
            <v>12981578.03</v>
          </cell>
          <cell r="K62">
            <v>2052446.56</v>
          </cell>
          <cell r="L62">
            <v>1506991.11</v>
          </cell>
          <cell r="M62">
            <v>1496648.29</v>
          </cell>
          <cell r="N62">
            <v>3585228.12</v>
          </cell>
          <cell r="O62">
            <v>3586319.69</v>
          </cell>
          <cell r="P62">
            <v>3585228.12</v>
          </cell>
          <cell r="Q62">
            <v>438021.38</v>
          </cell>
          <cell r="R62">
            <v>438374.22</v>
          </cell>
          <cell r="S62">
            <v>438021.38</v>
          </cell>
          <cell r="T62">
            <v>38523329.61</v>
          </cell>
          <cell r="U62">
            <v>30305289.21</v>
          </cell>
          <cell r="V62">
            <v>29185181.35</v>
          </cell>
        </row>
        <row r="63">
          <cell r="A63" t="str">
            <v>Joydebpur</v>
          </cell>
          <cell r="B63">
            <v>633819.02</v>
          </cell>
          <cell r="C63">
            <v>247817.82</v>
          </cell>
          <cell r="D63">
            <v>247781</v>
          </cell>
          <cell r="E63">
            <v>9630604.33</v>
          </cell>
          <cell r="F63">
            <v>7167206.5</v>
          </cell>
          <cell r="G63">
            <v>6561574.32</v>
          </cell>
          <cell r="H63">
            <v>18727372.37</v>
          </cell>
          <cell r="I63">
            <v>13106608.99</v>
          </cell>
          <cell r="J63">
            <v>13084529.17</v>
          </cell>
          <cell r="K63">
            <v>3899332.49</v>
          </cell>
          <cell r="L63">
            <v>3472323.35</v>
          </cell>
          <cell r="M63">
            <v>3282218.97</v>
          </cell>
          <cell r="N63">
            <v>1431436.03</v>
          </cell>
          <cell r="O63">
            <v>1433063.66</v>
          </cell>
          <cell r="P63">
            <v>1431436.03</v>
          </cell>
          <cell r="Q63">
            <v>2914785.58</v>
          </cell>
          <cell r="R63">
            <v>2345707.49</v>
          </cell>
          <cell r="S63">
            <v>2344326.47</v>
          </cell>
          <cell r="T63">
            <v>37237349.82</v>
          </cell>
          <cell r="U63">
            <v>27772727.81</v>
          </cell>
          <cell r="V63">
            <v>26951865.96</v>
          </cell>
        </row>
        <row r="64">
          <cell r="A64" t="str">
            <v>Joypurhat</v>
          </cell>
          <cell r="B64">
            <v>678577.42</v>
          </cell>
          <cell r="C64">
            <v>486537.78</v>
          </cell>
          <cell r="D64">
            <v>486358.43</v>
          </cell>
          <cell r="E64">
            <v>5013497.23</v>
          </cell>
          <cell r="F64">
            <v>1916263.9</v>
          </cell>
          <cell r="G64">
            <v>1914723.89</v>
          </cell>
          <cell r="H64">
            <v>9412065.99</v>
          </cell>
          <cell r="I64">
            <v>5414265.14</v>
          </cell>
          <cell r="J64">
            <v>5410514.4</v>
          </cell>
          <cell r="K64">
            <v>1098885.55</v>
          </cell>
          <cell r="L64">
            <v>913692.89</v>
          </cell>
          <cell r="M64">
            <v>913619.1</v>
          </cell>
          <cell r="N64">
            <v>4731490.33</v>
          </cell>
          <cell r="O64">
            <v>5608781.65</v>
          </cell>
          <cell r="P64">
            <v>4731490.33</v>
          </cell>
          <cell r="Q64">
            <v>12155018.65</v>
          </cell>
          <cell r="R64">
            <v>2675782.03</v>
          </cell>
          <cell r="S64">
            <v>2674809.15</v>
          </cell>
          <cell r="T64">
            <v>33089535.17</v>
          </cell>
          <cell r="U64">
            <v>17015323.39</v>
          </cell>
          <cell r="V64">
            <v>16131515.3</v>
          </cell>
        </row>
        <row r="65">
          <cell r="A65" t="str">
            <v>Kadamtali</v>
          </cell>
          <cell r="B65">
            <v>984508.54</v>
          </cell>
          <cell r="C65">
            <v>99193.07</v>
          </cell>
          <cell r="D65">
            <v>99180.5</v>
          </cell>
          <cell r="E65">
            <v>19096070.76</v>
          </cell>
          <cell r="F65">
            <v>7469603.73</v>
          </cell>
          <cell r="G65">
            <v>6860730.15</v>
          </cell>
          <cell r="H65">
            <v>19142430.21</v>
          </cell>
          <cell r="I65">
            <v>10037683.05</v>
          </cell>
          <cell r="J65">
            <v>9798950.87</v>
          </cell>
          <cell r="K65">
            <v>2365654.28</v>
          </cell>
          <cell r="L65">
            <v>1942300.66</v>
          </cell>
          <cell r="M65">
            <v>1934262.08</v>
          </cell>
          <cell r="N65">
            <v>2926473.43</v>
          </cell>
          <cell r="O65">
            <v>2560870.78</v>
          </cell>
          <cell r="P65">
            <v>2556875.6</v>
          </cell>
        </row>
        <row r="65">
          <cell r="T65">
            <v>44515137.22</v>
          </cell>
          <cell r="U65">
            <v>22109651.29</v>
          </cell>
          <cell r="V65">
            <v>21249999.2</v>
          </cell>
        </row>
        <row r="66">
          <cell r="A66" t="str">
            <v>Kaliakair</v>
          </cell>
        </row>
        <row r="66">
          <cell r="E66">
            <v>98644.45</v>
          </cell>
        </row>
        <row r="66">
          <cell r="G66">
            <v>0</v>
          </cell>
        </row>
        <row r="66">
          <cell r="N66">
            <v>380334.58</v>
          </cell>
        </row>
        <row r="66">
          <cell r="P66">
            <v>0</v>
          </cell>
        </row>
        <row r="66">
          <cell r="T66">
            <v>478979.03</v>
          </cell>
        </row>
        <row r="66">
          <cell r="V66">
            <v>0</v>
          </cell>
        </row>
        <row r="67">
          <cell r="A67" t="str">
            <v>Kalurghat</v>
          </cell>
          <cell r="B67">
            <v>372946.62</v>
          </cell>
          <cell r="C67">
            <v>89315.3</v>
          </cell>
          <cell r="D67">
            <v>89315.3</v>
          </cell>
          <cell r="E67">
            <v>7541123.98</v>
          </cell>
          <cell r="F67">
            <v>4246039.97</v>
          </cell>
          <cell r="G67">
            <v>4188673.8</v>
          </cell>
          <cell r="H67">
            <v>15819615.93</v>
          </cell>
          <cell r="I67">
            <v>9958712.69</v>
          </cell>
          <cell r="J67">
            <v>9677265.65</v>
          </cell>
          <cell r="K67">
            <v>3393853.9</v>
          </cell>
          <cell r="L67">
            <v>2916981.44</v>
          </cell>
          <cell r="M67">
            <v>2725814.48</v>
          </cell>
          <cell r="N67">
            <v>1462062.13</v>
          </cell>
          <cell r="O67">
            <v>1940873.09</v>
          </cell>
          <cell r="P67">
            <v>1462062.13</v>
          </cell>
          <cell r="Q67">
            <v>2397626.29</v>
          </cell>
          <cell r="R67">
            <v>2404222.24</v>
          </cell>
          <cell r="S67">
            <v>2397626.29</v>
          </cell>
          <cell r="T67">
            <v>30987228.85</v>
          </cell>
          <cell r="U67">
            <v>21556144.73</v>
          </cell>
          <cell r="V67">
            <v>20540757.65</v>
          </cell>
        </row>
        <row r="68">
          <cell r="A68" t="str">
            <v>Kamrangirchar</v>
          </cell>
          <cell r="B68">
            <v>2293350.36</v>
          </cell>
          <cell r="C68">
            <v>1202210.6</v>
          </cell>
          <cell r="D68">
            <v>1121714.77</v>
          </cell>
          <cell r="E68">
            <v>8795100.58</v>
          </cell>
          <cell r="F68">
            <v>6161552.37</v>
          </cell>
          <cell r="G68">
            <v>6155555.55</v>
          </cell>
          <cell r="H68">
            <v>21820025.46</v>
          </cell>
          <cell r="I68">
            <v>15518412.05</v>
          </cell>
          <cell r="J68">
            <v>15458311.65</v>
          </cell>
          <cell r="K68">
            <v>4781165.27</v>
          </cell>
          <cell r="L68">
            <v>3605386.54</v>
          </cell>
          <cell r="M68">
            <v>3604611.08</v>
          </cell>
          <cell r="N68">
            <v>3225531.38</v>
          </cell>
          <cell r="O68">
            <v>2878982.41</v>
          </cell>
          <cell r="P68">
            <v>2878368.06</v>
          </cell>
          <cell r="Q68">
            <v>475094.02</v>
          </cell>
          <cell r="R68">
            <v>476475.27</v>
          </cell>
          <cell r="S68">
            <v>475094.02</v>
          </cell>
          <cell r="T68">
            <v>41390267.07</v>
          </cell>
          <cell r="U68">
            <v>29843019.24</v>
          </cell>
          <cell r="V68">
            <v>29693655.13</v>
          </cell>
        </row>
        <row r="69">
          <cell r="A69" t="str">
            <v>Kazipara</v>
          </cell>
          <cell r="B69">
            <v>1909047.58</v>
          </cell>
          <cell r="C69">
            <v>408042.36</v>
          </cell>
          <cell r="D69">
            <v>345876.96</v>
          </cell>
          <cell r="E69">
            <v>5963358.94</v>
          </cell>
          <cell r="F69">
            <v>3956053.29</v>
          </cell>
          <cell r="G69">
            <v>3767930.93</v>
          </cell>
          <cell r="H69">
            <v>7481415.78</v>
          </cell>
          <cell r="I69">
            <v>5530781.92</v>
          </cell>
          <cell r="J69">
            <v>5526124.25</v>
          </cell>
          <cell r="K69">
            <v>2827652.52</v>
          </cell>
          <cell r="L69">
            <v>1477023.94</v>
          </cell>
          <cell r="M69">
            <v>1477023.94</v>
          </cell>
          <cell r="N69">
            <v>2580380.17</v>
          </cell>
          <cell r="O69">
            <v>2623191.24</v>
          </cell>
          <cell r="P69">
            <v>2289823.69</v>
          </cell>
          <cell r="Q69">
            <v>3496787.89</v>
          </cell>
          <cell r="R69">
            <v>3417336.94</v>
          </cell>
          <cell r="S69">
            <v>2991378.61</v>
          </cell>
          <cell r="T69">
            <v>24258642.88</v>
          </cell>
          <cell r="U69">
            <v>17412429.69</v>
          </cell>
          <cell r="V69">
            <v>16398158.38</v>
          </cell>
        </row>
        <row r="70">
          <cell r="A70" t="str">
            <v>Keranigonj</v>
          </cell>
          <cell r="B70">
            <v>2196212.1</v>
          </cell>
          <cell r="C70">
            <v>1275320.37</v>
          </cell>
          <cell r="D70">
            <v>1273195.73</v>
          </cell>
          <cell r="E70">
            <v>25915934.11</v>
          </cell>
          <cell r="F70">
            <v>14714556.99</v>
          </cell>
          <cell r="G70">
            <v>14520384.58</v>
          </cell>
          <cell r="H70">
            <v>24675822.7</v>
          </cell>
          <cell r="I70">
            <v>11632003.83</v>
          </cell>
          <cell r="J70">
            <v>11187673.7</v>
          </cell>
          <cell r="K70">
            <v>4141944.36</v>
          </cell>
          <cell r="L70">
            <v>4014161.27</v>
          </cell>
          <cell r="M70">
            <v>3829860.62</v>
          </cell>
          <cell r="N70">
            <v>2926567.59</v>
          </cell>
          <cell r="O70">
            <v>2928911.08</v>
          </cell>
          <cell r="P70">
            <v>2926567.59</v>
          </cell>
          <cell r="Q70">
            <v>1588067</v>
          </cell>
          <cell r="R70">
            <v>1595039</v>
          </cell>
          <cell r="S70">
            <v>1588067</v>
          </cell>
          <cell r="T70">
            <v>61444547.86</v>
          </cell>
          <cell r="U70">
            <v>36159992.54</v>
          </cell>
          <cell r="V70">
            <v>35325749.22</v>
          </cell>
        </row>
        <row r="71">
          <cell r="A71" t="str">
            <v>Keshobpur</v>
          </cell>
          <cell r="B71">
            <v>3346967.79</v>
          </cell>
          <cell r="C71">
            <v>2331266.01</v>
          </cell>
          <cell r="D71">
            <v>2328395.63</v>
          </cell>
          <cell r="E71">
            <v>15369757.66</v>
          </cell>
          <cell r="F71">
            <v>11404777.86</v>
          </cell>
          <cell r="G71">
            <v>10909088.57</v>
          </cell>
          <cell r="H71">
            <v>21202080.37</v>
          </cell>
          <cell r="I71">
            <v>15212501.41</v>
          </cell>
          <cell r="J71">
            <v>14767578.96</v>
          </cell>
          <cell r="K71">
            <v>5841023.42</v>
          </cell>
          <cell r="L71">
            <v>6284473.88</v>
          </cell>
          <cell r="M71">
            <v>5841023.42</v>
          </cell>
          <cell r="N71">
            <v>3176330.77</v>
          </cell>
          <cell r="O71">
            <v>3190445.75</v>
          </cell>
          <cell r="P71">
            <v>3176330.77</v>
          </cell>
          <cell r="Q71">
            <v>1419229.42</v>
          </cell>
          <cell r="R71">
            <v>1420023.73</v>
          </cell>
          <cell r="S71">
            <v>1419229.42</v>
          </cell>
          <cell r="T71">
            <v>50355389.43</v>
          </cell>
          <cell r="U71">
            <v>39843488.64</v>
          </cell>
          <cell r="V71">
            <v>38441646.77</v>
          </cell>
        </row>
        <row r="72">
          <cell r="A72" t="str">
            <v>Khatungonj</v>
          </cell>
          <cell r="B72">
            <v>154908.96</v>
          </cell>
          <cell r="C72">
            <v>21000</v>
          </cell>
          <cell r="D72">
            <v>21000</v>
          </cell>
          <cell r="E72">
            <v>7708599.25</v>
          </cell>
          <cell r="F72">
            <v>3455064.93</v>
          </cell>
          <cell r="G72">
            <v>3319676.59</v>
          </cell>
          <cell r="H72">
            <v>15594590.32</v>
          </cell>
          <cell r="I72">
            <v>11068858.27</v>
          </cell>
          <cell r="J72">
            <v>11015006.48</v>
          </cell>
          <cell r="K72">
            <v>8189650.76</v>
          </cell>
          <cell r="L72">
            <v>5662197.18</v>
          </cell>
          <cell r="M72">
            <v>5533949.59</v>
          </cell>
          <cell r="N72">
            <v>6645783.63</v>
          </cell>
          <cell r="O72">
            <v>6176181.14</v>
          </cell>
          <cell r="P72">
            <v>6172710.55</v>
          </cell>
          <cell r="Q72">
            <v>5471229.41</v>
          </cell>
          <cell r="R72">
            <v>4536934.71</v>
          </cell>
          <cell r="S72">
            <v>4532894.89</v>
          </cell>
          <cell r="T72">
            <v>43764762.33</v>
          </cell>
          <cell r="U72">
            <v>30920236.23</v>
          </cell>
          <cell r="V72">
            <v>30595238.1</v>
          </cell>
        </row>
        <row r="73">
          <cell r="A73" t="str">
            <v>Khulna</v>
          </cell>
          <cell r="B73">
            <v>3203609.58</v>
          </cell>
          <cell r="C73">
            <v>1128719.2</v>
          </cell>
          <cell r="D73">
            <v>1111954.36</v>
          </cell>
          <cell r="E73">
            <v>10995835.73</v>
          </cell>
          <cell r="F73">
            <v>7932573.14</v>
          </cell>
          <cell r="G73">
            <v>7924306.9</v>
          </cell>
          <cell r="H73">
            <v>22102753.87</v>
          </cell>
          <cell r="I73">
            <v>16818095.92</v>
          </cell>
          <cell r="J73">
            <v>16280406.35</v>
          </cell>
          <cell r="K73">
            <v>11221768.77</v>
          </cell>
          <cell r="L73">
            <v>10138689.42</v>
          </cell>
          <cell r="M73">
            <v>9975700.81</v>
          </cell>
          <cell r="N73">
            <v>10567085.19</v>
          </cell>
          <cell r="O73">
            <v>7932492.12</v>
          </cell>
          <cell r="P73">
            <v>7927652.96</v>
          </cell>
          <cell r="Q73">
            <v>5272197.68</v>
          </cell>
          <cell r="R73">
            <v>2945576.84</v>
          </cell>
          <cell r="S73">
            <v>2945576.84</v>
          </cell>
          <cell r="T73">
            <v>63363250.82</v>
          </cell>
          <cell r="U73">
            <v>46896146.64</v>
          </cell>
          <cell r="V73">
            <v>46165598.22</v>
          </cell>
        </row>
        <row r="74">
          <cell r="A74" t="str">
            <v>Konabari</v>
          </cell>
          <cell r="B74">
            <v>1293228.28</v>
          </cell>
          <cell r="C74">
            <v>238812.25</v>
          </cell>
          <cell r="D74">
            <v>238525.04</v>
          </cell>
          <cell r="E74">
            <v>11515007.22</v>
          </cell>
          <cell r="F74">
            <v>8708316.78</v>
          </cell>
          <cell r="G74">
            <v>8554012.84</v>
          </cell>
          <cell r="H74">
            <v>17127631.88</v>
          </cell>
          <cell r="I74">
            <v>15687421.35</v>
          </cell>
          <cell r="J74">
            <v>15502170.84</v>
          </cell>
          <cell r="K74">
            <v>3523400.83</v>
          </cell>
          <cell r="L74">
            <v>3702646.9</v>
          </cell>
          <cell r="M74">
            <v>3523400.83</v>
          </cell>
          <cell r="N74">
            <v>1386966.13</v>
          </cell>
          <cell r="O74">
            <v>727365.55</v>
          </cell>
          <cell r="P74">
            <v>720208.31</v>
          </cell>
          <cell r="Q74">
            <v>5294109.08</v>
          </cell>
          <cell r="R74">
            <v>2965269.45</v>
          </cell>
          <cell r="S74">
            <v>2958853.54</v>
          </cell>
          <cell r="T74">
            <v>40140343.42</v>
          </cell>
          <cell r="U74">
            <v>32029832.28</v>
          </cell>
          <cell r="V74">
            <v>31497171.4</v>
          </cell>
        </row>
        <row r="75">
          <cell r="A75" t="str">
            <v>Kosba</v>
          </cell>
          <cell r="B75">
            <v>5243222.77</v>
          </cell>
          <cell r="C75">
            <v>4233781.41</v>
          </cell>
          <cell r="D75">
            <v>4229882.78</v>
          </cell>
          <cell r="E75">
            <v>33672186.17</v>
          </cell>
          <cell r="F75">
            <v>29496077.83</v>
          </cell>
          <cell r="G75">
            <v>29148062.07</v>
          </cell>
          <cell r="H75">
            <v>3180203.01</v>
          </cell>
          <cell r="I75">
            <v>2375438.53</v>
          </cell>
          <cell r="J75">
            <v>2336678.5</v>
          </cell>
          <cell r="K75">
            <v>205065.78</v>
          </cell>
          <cell r="L75">
            <v>205345.5</v>
          </cell>
          <cell r="M75">
            <v>205065.78</v>
          </cell>
        </row>
        <row r="75">
          <cell r="T75">
            <v>42300677.73</v>
          </cell>
          <cell r="U75">
            <v>36310643.27</v>
          </cell>
          <cell r="V75">
            <v>35919689.13</v>
          </cell>
        </row>
        <row r="76">
          <cell r="A76" t="str">
            <v>Kotiadi</v>
          </cell>
          <cell r="B76">
            <v>6849879.76000001</v>
          </cell>
          <cell r="C76">
            <v>6004954.29</v>
          </cell>
          <cell r="D76">
            <v>5921214.54</v>
          </cell>
          <cell r="E76">
            <v>22526406.02</v>
          </cell>
          <cell r="F76">
            <v>18896915.95</v>
          </cell>
          <cell r="G76">
            <v>18353946.35</v>
          </cell>
          <cell r="H76">
            <v>2468487.4</v>
          </cell>
          <cell r="I76">
            <v>1998563.89</v>
          </cell>
          <cell r="J76">
            <v>1996523.75</v>
          </cell>
        </row>
        <row r="76">
          <cell r="T76">
            <v>31844773.18</v>
          </cell>
          <cell r="U76">
            <v>26900434.13</v>
          </cell>
          <cell r="V76">
            <v>26271684.64</v>
          </cell>
        </row>
        <row r="77">
          <cell r="A77" t="str">
            <v>Kulaura </v>
          </cell>
          <cell r="B77">
            <v>5401142.09</v>
          </cell>
          <cell r="C77">
            <v>4665992.24</v>
          </cell>
          <cell r="D77">
            <v>4662853.97</v>
          </cell>
          <cell r="E77">
            <v>11757993.88</v>
          </cell>
          <cell r="F77">
            <v>10985917.47</v>
          </cell>
          <cell r="G77">
            <v>10977793.73</v>
          </cell>
        </row>
        <row r="77">
          <cell r="T77">
            <v>17159135.97</v>
          </cell>
          <cell r="U77">
            <v>15651909.71</v>
          </cell>
          <cell r="V77">
            <v>15640647.7</v>
          </cell>
        </row>
        <row r="78">
          <cell r="A78" t="str">
            <v>Kurigram</v>
          </cell>
          <cell r="B78">
            <v>8515959.17</v>
          </cell>
          <cell r="C78">
            <v>5975079.48</v>
          </cell>
          <cell r="D78">
            <v>5555960.17</v>
          </cell>
          <cell r="E78">
            <v>11402579.68</v>
          </cell>
          <cell r="F78">
            <v>8554050.65</v>
          </cell>
          <cell r="G78">
            <v>8324746.44</v>
          </cell>
          <cell r="H78">
            <v>7641696.43</v>
          </cell>
          <cell r="I78">
            <v>7579139.74</v>
          </cell>
          <cell r="J78">
            <v>7311881.34</v>
          </cell>
          <cell r="K78">
            <v>2422845.35</v>
          </cell>
          <cell r="L78">
            <v>2426334.18</v>
          </cell>
          <cell r="M78">
            <v>2422845.35</v>
          </cell>
          <cell r="N78">
            <v>2382794.72</v>
          </cell>
          <cell r="O78">
            <v>1717332.64</v>
          </cell>
          <cell r="P78">
            <v>1702976.16</v>
          </cell>
          <cell r="Q78">
            <v>505409.28</v>
          </cell>
        </row>
        <row r="78">
          <cell r="S78">
            <v>0</v>
          </cell>
          <cell r="T78">
            <v>32871284.63</v>
          </cell>
          <cell r="U78">
            <v>26251936.69</v>
          </cell>
          <cell r="V78">
            <v>25318409.46</v>
          </cell>
        </row>
        <row r="79">
          <cell r="A79" t="str">
            <v>Kushtia</v>
          </cell>
          <cell r="B79">
            <v>3862400.35</v>
          </cell>
          <cell r="C79">
            <v>685428.21</v>
          </cell>
          <cell r="D79">
            <v>684637.21</v>
          </cell>
          <cell r="E79">
            <v>9376415.36</v>
          </cell>
          <cell r="F79">
            <v>4681442.66</v>
          </cell>
          <cell r="G79">
            <v>4451955.63</v>
          </cell>
          <cell r="H79">
            <v>17882455.53</v>
          </cell>
          <cell r="I79">
            <v>12531009.89</v>
          </cell>
          <cell r="J79">
            <v>12215585.89</v>
          </cell>
          <cell r="K79">
            <v>2635580.54</v>
          </cell>
          <cell r="L79">
            <v>2371765.81</v>
          </cell>
          <cell r="M79">
            <v>2371509.68</v>
          </cell>
          <cell r="N79">
            <v>2311692.63</v>
          </cell>
          <cell r="O79">
            <v>1622838.83</v>
          </cell>
          <cell r="P79">
            <v>1621710.02</v>
          </cell>
          <cell r="Q79">
            <v>2179015.02</v>
          </cell>
          <cell r="R79">
            <v>2179245.81</v>
          </cell>
          <cell r="S79">
            <v>2179015.02</v>
          </cell>
          <cell r="T79">
            <v>38247559.43</v>
          </cell>
          <cell r="U79">
            <v>24071731.21</v>
          </cell>
          <cell r="V79">
            <v>23524413.45</v>
          </cell>
        </row>
        <row r="80">
          <cell r="A80" t="str">
            <v>Laksham</v>
          </cell>
          <cell r="B80">
            <v>6187901.95</v>
          </cell>
          <cell r="C80">
            <v>4587883.42</v>
          </cell>
          <cell r="D80">
            <v>4333507.15</v>
          </cell>
          <cell r="E80">
            <v>17288630.69</v>
          </cell>
          <cell r="F80">
            <v>11601963.62</v>
          </cell>
          <cell r="G80">
            <v>11142554.19</v>
          </cell>
          <cell r="H80">
            <v>6757752.41</v>
          </cell>
          <cell r="I80">
            <v>4126375.88</v>
          </cell>
          <cell r="J80">
            <v>3901294.27</v>
          </cell>
          <cell r="K80">
            <v>895409.16</v>
          </cell>
          <cell r="L80">
            <v>896418.09</v>
          </cell>
          <cell r="M80">
            <v>895409.16</v>
          </cell>
        </row>
        <row r="80">
          <cell r="T80">
            <v>31129694.21</v>
          </cell>
          <cell r="U80">
            <v>21212641.01</v>
          </cell>
          <cell r="V80">
            <v>20272764.77</v>
          </cell>
        </row>
        <row r="81">
          <cell r="A81" t="str">
            <v>Laxmipur</v>
          </cell>
          <cell r="B81">
            <v>3291899.97</v>
          </cell>
          <cell r="C81">
            <v>2320736.46</v>
          </cell>
          <cell r="D81">
            <v>2195881.78</v>
          </cell>
          <cell r="E81">
            <v>13919239.27</v>
          </cell>
          <cell r="F81">
            <v>10236470.59</v>
          </cell>
          <cell r="G81">
            <v>9993574.15</v>
          </cell>
          <cell r="H81">
            <v>4842405.81</v>
          </cell>
          <cell r="I81">
            <v>4477130</v>
          </cell>
          <cell r="J81">
            <v>4116099.56</v>
          </cell>
          <cell r="K81">
            <v>1322332.84</v>
          </cell>
          <cell r="L81">
            <v>1113156.55</v>
          </cell>
          <cell r="M81">
            <v>1112354.7</v>
          </cell>
          <cell r="N81">
            <v>270515.95</v>
          </cell>
          <cell r="O81">
            <v>270515.95</v>
          </cell>
          <cell r="P81">
            <v>270515.95</v>
          </cell>
          <cell r="Q81">
            <v>501804.38</v>
          </cell>
          <cell r="R81">
            <v>501804.38</v>
          </cell>
          <cell r="S81">
            <v>501804.38</v>
          </cell>
          <cell r="T81">
            <v>24148198.22</v>
          </cell>
          <cell r="U81">
            <v>18919813.93</v>
          </cell>
          <cell r="V81">
            <v>18190230.52</v>
          </cell>
        </row>
        <row r="82">
          <cell r="A82" t="str">
            <v>Lohagora, CTG</v>
          </cell>
          <cell r="B82">
            <v>3319370.96</v>
          </cell>
          <cell r="C82">
            <v>2040009.85</v>
          </cell>
          <cell r="D82">
            <v>1931976.48</v>
          </cell>
          <cell r="E82">
            <v>14447154.53</v>
          </cell>
          <cell r="F82">
            <v>10582477.7</v>
          </cell>
          <cell r="G82">
            <v>10237252.49</v>
          </cell>
          <cell r="H82">
            <v>9380519.3</v>
          </cell>
          <cell r="I82">
            <v>8585057.54</v>
          </cell>
          <cell r="J82">
            <v>8266867.44</v>
          </cell>
          <cell r="K82">
            <v>1355633.47</v>
          </cell>
          <cell r="L82">
            <v>1275295.78</v>
          </cell>
          <cell r="M82">
            <v>1275133.6</v>
          </cell>
          <cell r="N82">
            <v>491397.11</v>
          </cell>
          <cell r="O82">
            <v>269272.89</v>
          </cell>
          <cell r="P82">
            <v>269272.89</v>
          </cell>
          <cell r="Q82">
            <v>618043.69</v>
          </cell>
          <cell r="R82">
            <v>619253.69</v>
          </cell>
          <cell r="S82">
            <v>618043.69</v>
          </cell>
          <cell r="T82">
            <v>29612119.06</v>
          </cell>
          <cell r="U82">
            <v>23371367.45</v>
          </cell>
          <cell r="V82">
            <v>22598546.59</v>
          </cell>
        </row>
        <row r="83">
          <cell r="A83" t="str">
            <v>Madhabpur</v>
          </cell>
          <cell r="B83">
            <v>8592113.44999999</v>
          </cell>
          <cell r="C83">
            <v>6791117.35</v>
          </cell>
          <cell r="D83">
            <v>6745838.42</v>
          </cell>
          <cell r="E83">
            <v>26312898.95</v>
          </cell>
          <cell r="F83">
            <v>23805716.09</v>
          </cell>
          <cell r="G83">
            <v>23514029.99</v>
          </cell>
          <cell r="H83">
            <v>4938149.15</v>
          </cell>
          <cell r="I83">
            <v>4468399.55</v>
          </cell>
          <cell r="J83">
            <v>4343370.86</v>
          </cell>
          <cell r="K83">
            <v>1391809.83</v>
          </cell>
          <cell r="L83">
            <v>1207366.78</v>
          </cell>
          <cell r="M83">
            <v>1206547.25</v>
          </cell>
        </row>
        <row r="83">
          <cell r="T83">
            <v>41234971.38</v>
          </cell>
          <cell r="U83">
            <v>36272599.77</v>
          </cell>
          <cell r="V83">
            <v>35809786.52</v>
          </cell>
        </row>
        <row r="84">
          <cell r="A84" t="str">
            <v>Magura</v>
          </cell>
          <cell r="B84">
            <v>4089348.59</v>
          </cell>
          <cell r="C84">
            <v>2617769.95</v>
          </cell>
          <cell r="D84">
            <v>2447867.17</v>
          </cell>
          <cell r="E84">
            <v>7384398.48</v>
          </cell>
          <cell r="F84">
            <v>5783680.95</v>
          </cell>
          <cell r="G84">
            <v>5776883.5</v>
          </cell>
          <cell r="H84">
            <v>8324682.56</v>
          </cell>
          <cell r="I84">
            <v>7705103.29</v>
          </cell>
          <cell r="J84">
            <v>6203824.82</v>
          </cell>
          <cell r="K84">
            <v>286662.09</v>
          </cell>
          <cell r="L84">
            <v>286662.09</v>
          </cell>
          <cell r="M84">
            <v>286662.09</v>
          </cell>
        </row>
        <row r="84">
          <cell r="T84">
            <v>20085091.72</v>
          </cell>
          <cell r="U84">
            <v>16393216.28</v>
          </cell>
          <cell r="V84">
            <v>14715237.58</v>
          </cell>
        </row>
        <row r="85">
          <cell r="A85" t="str">
            <v>Maijdee</v>
          </cell>
          <cell r="B85">
            <v>7160234.78</v>
          </cell>
          <cell r="C85">
            <v>4821080.6</v>
          </cell>
          <cell r="D85">
            <v>4796226.08</v>
          </cell>
          <cell r="E85">
            <v>21704181.47</v>
          </cell>
          <cell r="F85">
            <v>15702403.02</v>
          </cell>
          <cell r="G85">
            <v>14994373.9</v>
          </cell>
          <cell r="H85">
            <v>8507869.82</v>
          </cell>
          <cell r="I85">
            <v>6548209.03</v>
          </cell>
          <cell r="J85">
            <v>6417664.52</v>
          </cell>
          <cell r="K85">
            <v>271363.75</v>
          </cell>
          <cell r="L85">
            <v>271506.51</v>
          </cell>
          <cell r="M85">
            <v>271363.75</v>
          </cell>
        </row>
        <row r="85">
          <cell r="Q85">
            <v>0</v>
          </cell>
          <cell r="R85">
            <v>2365365.41</v>
          </cell>
          <cell r="S85">
            <v>0</v>
          </cell>
          <cell r="T85">
            <v>37643649.82</v>
          </cell>
          <cell r="U85">
            <v>29708564.57</v>
          </cell>
          <cell r="V85">
            <v>26479628.25</v>
          </cell>
        </row>
        <row r="86">
          <cell r="A86" t="str">
            <v>Manikgonj</v>
          </cell>
          <cell r="B86">
            <v>1640859.19</v>
          </cell>
          <cell r="C86">
            <v>1421211.26</v>
          </cell>
          <cell r="D86">
            <v>1419069.02</v>
          </cell>
          <cell r="E86">
            <v>4611667.22</v>
          </cell>
          <cell r="F86">
            <v>3604830.17</v>
          </cell>
          <cell r="G86">
            <v>3591204.03</v>
          </cell>
          <cell r="H86">
            <v>1066463.42</v>
          </cell>
          <cell r="I86">
            <v>1241232.99</v>
          </cell>
          <cell r="J86">
            <v>1052812.14</v>
          </cell>
          <cell r="K86">
            <v>1064262.43</v>
          </cell>
          <cell r="L86">
            <v>848200</v>
          </cell>
          <cell r="M86">
            <v>841419.17</v>
          </cell>
          <cell r="N86">
            <v>713600.21</v>
          </cell>
          <cell r="O86">
            <v>713600.21</v>
          </cell>
          <cell r="P86">
            <v>713600.21</v>
          </cell>
        </row>
        <row r="86">
          <cell r="T86">
            <v>9096852.47</v>
          </cell>
          <cell r="U86">
            <v>7829074.63</v>
          </cell>
          <cell r="V86">
            <v>7618104.57</v>
          </cell>
        </row>
        <row r="87">
          <cell r="A87" t="str">
            <v>Mirpur</v>
          </cell>
          <cell r="B87">
            <v>832583.83</v>
          </cell>
          <cell r="C87">
            <v>313756.35</v>
          </cell>
          <cell r="D87">
            <v>313248.09</v>
          </cell>
          <cell r="E87">
            <v>21398661.1</v>
          </cell>
          <cell r="F87">
            <v>10493233.8</v>
          </cell>
          <cell r="G87">
            <v>9960711.7</v>
          </cell>
          <cell r="H87">
            <v>21645809.29</v>
          </cell>
          <cell r="I87">
            <v>15036966.17</v>
          </cell>
          <cell r="J87">
            <v>14941827.45</v>
          </cell>
          <cell r="K87">
            <v>9577753.65</v>
          </cell>
          <cell r="L87">
            <v>7239234.38</v>
          </cell>
          <cell r="M87">
            <v>6850188.24</v>
          </cell>
          <cell r="N87">
            <v>5218232.26</v>
          </cell>
          <cell r="O87">
            <v>4885383.11</v>
          </cell>
          <cell r="P87">
            <v>4884662.14</v>
          </cell>
          <cell r="Q87">
            <v>3719801.71</v>
          </cell>
          <cell r="R87">
            <v>3721276.48</v>
          </cell>
          <cell r="S87">
            <v>3719801.71</v>
          </cell>
          <cell r="T87">
            <v>62392841.84</v>
          </cell>
          <cell r="U87">
            <v>41689850.29</v>
          </cell>
          <cell r="V87">
            <v>40670439.33</v>
          </cell>
        </row>
        <row r="88">
          <cell r="A88" t="str">
            <v>Moghbazar</v>
          </cell>
          <cell r="B88">
            <v>425155.56</v>
          </cell>
          <cell r="C88">
            <v>358092.83</v>
          </cell>
          <cell r="D88">
            <v>304686.15</v>
          </cell>
          <cell r="E88">
            <v>6856227.48</v>
          </cell>
          <cell r="F88">
            <v>5342307.68</v>
          </cell>
          <cell r="G88">
            <v>5194803.55</v>
          </cell>
          <cell r="H88">
            <v>16823722.07</v>
          </cell>
          <cell r="I88">
            <v>12308057.03</v>
          </cell>
          <cell r="J88">
            <v>11971099.85</v>
          </cell>
          <cell r="K88">
            <v>6192590.99</v>
          </cell>
          <cell r="L88">
            <v>6205524.55</v>
          </cell>
          <cell r="M88">
            <v>6192590.99</v>
          </cell>
          <cell r="N88">
            <v>5576879.3</v>
          </cell>
          <cell r="O88">
            <v>4997743.43</v>
          </cell>
          <cell r="P88">
            <v>4279932.71</v>
          </cell>
          <cell r="Q88">
            <v>4376119.18</v>
          </cell>
          <cell r="R88">
            <v>6692159.51</v>
          </cell>
          <cell r="S88">
            <v>4324679.1</v>
          </cell>
          <cell r="T88">
            <v>40250694.58</v>
          </cell>
          <cell r="U88">
            <v>35903885.03</v>
          </cell>
          <cell r="V88">
            <v>32267792.35</v>
          </cell>
        </row>
        <row r="89">
          <cell r="A89" t="str">
            <v>Mohammadpur</v>
          </cell>
          <cell r="B89">
            <v>896704.02</v>
          </cell>
          <cell r="C89">
            <v>567271.11</v>
          </cell>
          <cell r="D89">
            <v>566294.92</v>
          </cell>
          <cell r="E89">
            <v>10905617.83</v>
          </cell>
          <cell r="F89">
            <v>7824944.71</v>
          </cell>
          <cell r="G89">
            <v>7746002.89</v>
          </cell>
          <cell r="H89">
            <v>20629822.37</v>
          </cell>
          <cell r="I89">
            <v>12433658.78</v>
          </cell>
          <cell r="J89">
            <v>12031498.13</v>
          </cell>
          <cell r="K89">
            <v>3901305.5</v>
          </cell>
          <cell r="L89">
            <v>3053863.09</v>
          </cell>
          <cell r="M89">
            <v>3053768.76</v>
          </cell>
          <cell r="N89">
            <v>1893094.85</v>
          </cell>
          <cell r="O89">
            <v>2039160.6</v>
          </cell>
          <cell r="P89">
            <v>1786767.08</v>
          </cell>
        </row>
        <row r="89">
          <cell r="T89">
            <v>38226544.57</v>
          </cell>
          <cell r="U89">
            <v>25918898.29</v>
          </cell>
          <cell r="V89">
            <v>25184331.78</v>
          </cell>
        </row>
        <row r="90">
          <cell r="A90" t="str">
            <v>Mymensingh</v>
          </cell>
          <cell r="B90">
            <v>1256099.4</v>
          </cell>
          <cell r="C90">
            <v>185438.31</v>
          </cell>
          <cell r="D90">
            <v>183984.51</v>
          </cell>
          <cell r="E90">
            <v>28110783.92</v>
          </cell>
          <cell r="F90">
            <v>19994691.29</v>
          </cell>
          <cell r="G90">
            <v>18893758.42</v>
          </cell>
          <cell r="H90">
            <v>24637589.36</v>
          </cell>
          <cell r="I90">
            <v>20831498.41</v>
          </cell>
          <cell r="J90">
            <v>20189933.97</v>
          </cell>
          <cell r="K90">
            <v>4257503.17</v>
          </cell>
          <cell r="L90">
            <v>3986249.69</v>
          </cell>
          <cell r="M90">
            <v>3978391.89</v>
          </cell>
          <cell r="N90">
            <v>3154463.05</v>
          </cell>
          <cell r="O90">
            <v>1552302.47</v>
          </cell>
          <cell r="P90">
            <v>1551729.2</v>
          </cell>
          <cell r="Q90">
            <v>5169802.3</v>
          </cell>
          <cell r="R90">
            <v>4564148.7</v>
          </cell>
          <cell r="S90">
            <v>4563224.18</v>
          </cell>
          <cell r="T90">
            <v>66586241.2</v>
          </cell>
          <cell r="U90">
            <v>51114328.87</v>
          </cell>
          <cell r="V90">
            <v>49361022.17</v>
          </cell>
        </row>
        <row r="91">
          <cell r="A91" t="str">
            <v>Nangolkot</v>
          </cell>
          <cell r="B91">
            <v>11296705.79</v>
          </cell>
          <cell r="C91">
            <v>10406463.07</v>
          </cell>
          <cell r="D91">
            <v>10370718.05</v>
          </cell>
          <cell r="E91">
            <v>29047018.11</v>
          </cell>
          <cell r="F91">
            <v>25841822.61</v>
          </cell>
          <cell r="G91">
            <v>25589849.51</v>
          </cell>
          <cell r="H91">
            <v>1758511.06</v>
          </cell>
          <cell r="I91">
            <v>1571951.17</v>
          </cell>
          <cell r="J91">
            <v>1569941.77</v>
          </cell>
        </row>
        <row r="91">
          <cell r="T91">
            <v>42102234.96</v>
          </cell>
          <cell r="U91">
            <v>37820236.85</v>
          </cell>
          <cell r="V91">
            <v>37530509.33</v>
          </cell>
        </row>
        <row r="92">
          <cell r="A92" t="str">
            <v>Naogaon</v>
          </cell>
          <cell r="B92">
            <v>3266453.25</v>
          </cell>
          <cell r="C92">
            <v>2633250.3</v>
          </cell>
          <cell r="D92">
            <v>2568704.32</v>
          </cell>
          <cell r="E92">
            <v>8398455.28</v>
          </cell>
          <cell r="F92">
            <v>5531538.93</v>
          </cell>
          <cell r="G92">
            <v>5447096.38</v>
          </cell>
          <cell r="H92">
            <v>10699320.14</v>
          </cell>
          <cell r="I92">
            <v>9897962.54</v>
          </cell>
          <cell r="J92">
            <v>9845169.69</v>
          </cell>
          <cell r="K92">
            <v>4414623.06</v>
          </cell>
          <cell r="L92">
            <v>4363174.95</v>
          </cell>
          <cell r="M92">
            <v>4360342.3</v>
          </cell>
          <cell r="N92">
            <v>4222327.41</v>
          </cell>
          <cell r="O92">
            <v>3583956.01</v>
          </cell>
          <cell r="P92">
            <v>3581456.11</v>
          </cell>
          <cell r="Q92">
            <v>2975121.14</v>
          </cell>
          <cell r="R92">
            <v>7708788.13</v>
          </cell>
          <cell r="S92">
            <v>2975121.14</v>
          </cell>
          <cell r="T92">
            <v>33976300.28</v>
          </cell>
          <cell r="U92">
            <v>33718670.86</v>
          </cell>
          <cell r="V92">
            <v>28777889.94</v>
          </cell>
        </row>
        <row r="93">
          <cell r="A93" t="str">
            <v>Narail</v>
          </cell>
          <cell r="B93">
            <v>3734825.43</v>
          </cell>
          <cell r="C93">
            <v>2731445.16</v>
          </cell>
          <cell r="D93">
            <v>2645507.79</v>
          </cell>
          <cell r="E93">
            <v>6865886.2</v>
          </cell>
          <cell r="F93">
            <v>5886368.91</v>
          </cell>
          <cell r="G93">
            <v>5804546.05</v>
          </cell>
          <cell r="H93">
            <v>9702074.44</v>
          </cell>
          <cell r="I93">
            <v>8800193.72</v>
          </cell>
          <cell r="J93">
            <v>8780182.65</v>
          </cell>
          <cell r="K93">
            <v>1383489.78</v>
          </cell>
          <cell r="L93">
            <v>1481672.15</v>
          </cell>
          <cell r="M93">
            <v>1383489.78</v>
          </cell>
          <cell r="N93">
            <v>626523.98</v>
          </cell>
          <cell r="O93">
            <v>625211.88</v>
          </cell>
          <cell r="P93">
            <v>625211.88</v>
          </cell>
          <cell r="Q93">
            <v>672180.37</v>
          </cell>
          <cell r="R93">
            <v>672485.53</v>
          </cell>
          <cell r="S93">
            <v>672180.37</v>
          </cell>
          <cell r="T93">
            <v>22984980.2</v>
          </cell>
          <cell r="U93">
            <v>20197377.35</v>
          </cell>
          <cell r="V93">
            <v>19911118.52</v>
          </cell>
        </row>
        <row r="94">
          <cell r="A94" t="str">
            <v>Narayangonj</v>
          </cell>
          <cell r="B94">
            <v>766126.49</v>
          </cell>
          <cell r="C94">
            <v>592843.68</v>
          </cell>
          <cell r="D94">
            <v>590279.1</v>
          </cell>
          <cell r="E94">
            <v>19155967.75</v>
          </cell>
          <cell r="F94">
            <v>12028051.79</v>
          </cell>
          <cell r="G94">
            <v>11366594.34</v>
          </cell>
          <cell r="H94">
            <v>15448005.18</v>
          </cell>
          <cell r="I94">
            <v>11075314.68</v>
          </cell>
          <cell r="J94">
            <v>10496718.83</v>
          </cell>
          <cell r="K94">
            <v>5308346.01</v>
          </cell>
          <cell r="L94">
            <v>4588118.96</v>
          </cell>
          <cell r="M94">
            <v>4585130.14</v>
          </cell>
          <cell r="N94">
            <v>5453323.35</v>
          </cell>
          <cell r="O94">
            <v>3192646.54</v>
          </cell>
          <cell r="P94">
            <v>3188150.73</v>
          </cell>
          <cell r="Q94">
            <v>5698345.86</v>
          </cell>
          <cell r="R94">
            <v>5705528.92</v>
          </cell>
          <cell r="S94">
            <v>5698345.86</v>
          </cell>
          <cell r="T94">
            <v>51830114.64</v>
          </cell>
          <cell r="U94">
            <v>37182504.57</v>
          </cell>
          <cell r="V94">
            <v>35925219</v>
          </cell>
        </row>
        <row r="95">
          <cell r="A95" t="str">
            <v>Narsingdi</v>
          </cell>
          <cell r="B95">
            <v>3431559.45</v>
          </cell>
          <cell r="C95">
            <v>2826912.69</v>
          </cell>
          <cell r="D95">
            <v>2671573.84</v>
          </cell>
          <cell r="E95">
            <v>18658495.79</v>
          </cell>
          <cell r="F95">
            <v>15365291.14</v>
          </cell>
          <cell r="G95">
            <v>14922706.44</v>
          </cell>
          <cell r="H95">
            <v>24379111.09</v>
          </cell>
          <cell r="I95">
            <v>16949339.62</v>
          </cell>
          <cell r="J95">
            <v>16358095.81</v>
          </cell>
          <cell r="K95">
            <v>4632618.72</v>
          </cell>
          <cell r="L95">
            <v>5005312.02</v>
          </cell>
          <cell r="M95">
            <v>4632618.72</v>
          </cell>
          <cell r="N95">
            <v>6057218.39</v>
          </cell>
          <cell r="O95">
            <v>5879485.75</v>
          </cell>
          <cell r="P95">
            <v>5875286.97</v>
          </cell>
          <cell r="Q95">
            <v>3720524.02</v>
          </cell>
          <cell r="R95">
            <v>3722906.89</v>
          </cell>
          <cell r="S95">
            <v>3720524.02</v>
          </cell>
          <cell r="T95">
            <v>60879527.46</v>
          </cell>
          <cell r="U95">
            <v>49749248.11</v>
          </cell>
          <cell r="V95">
            <v>48180805.8</v>
          </cell>
        </row>
        <row r="96">
          <cell r="A96" t="str">
            <v>Nawabgonj</v>
          </cell>
          <cell r="B96">
            <v>5965096.22</v>
          </cell>
          <cell r="C96">
            <v>5397022.12</v>
          </cell>
          <cell r="D96">
            <v>5365105.53</v>
          </cell>
          <cell r="E96">
            <v>22874770.39</v>
          </cell>
          <cell r="F96">
            <v>19499309.3</v>
          </cell>
          <cell r="G96">
            <v>19427194.43</v>
          </cell>
          <cell r="H96">
            <v>5646029.36</v>
          </cell>
          <cell r="I96">
            <v>4871070.26</v>
          </cell>
          <cell r="J96">
            <v>4866877.21</v>
          </cell>
          <cell r="K96">
            <v>279160.21</v>
          </cell>
          <cell r="L96">
            <v>279160.21</v>
          </cell>
          <cell r="M96">
            <v>279160.21</v>
          </cell>
        </row>
        <row r="96">
          <cell r="T96">
            <v>34765056.18</v>
          </cell>
          <cell r="U96">
            <v>30046561.89</v>
          </cell>
          <cell r="V96">
            <v>29938337.38</v>
          </cell>
        </row>
        <row r="97">
          <cell r="A97" t="str">
            <v>Nawabpur</v>
          </cell>
          <cell r="B97">
            <v>1180356.59</v>
          </cell>
          <cell r="C97">
            <v>38789.32</v>
          </cell>
          <cell r="D97">
            <v>38789.32</v>
          </cell>
          <cell r="E97">
            <v>10793165.25</v>
          </cell>
          <cell r="F97">
            <v>8259406.37</v>
          </cell>
          <cell r="G97">
            <v>8188062.52</v>
          </cell>
          <cell r="H97">
            <v>23745035.99</v>
          </cell>
          <cell r="I97">
            <v>18789642.95</v>
          </cell>
          <cell r="J97">
            <v>16750981.69</v>
          </cell>
          <cell r="K97">
            <v>7538003.2</v>
          </cell>
          <cell r="L97">
            <v>3862614.38</v>
          </cell>
          <cell r="M97">
            <v>3857164.22</v>
          </cell>
          <cell r="N97">
            <v>6620356.36</v>
          </cell>
          <cell r="O97">
            <v>5937362.76</v>
          </cell>
          <cell r="P97">
            <v>5933076.13</v>
          </cell>
          <cell r="Q97">
            <v>5496682.97</v>
          </cell>
          <cell r="R97">
            <v>3580614.21</v>
          </cell>
          <cell r="S97">
            <v>3579129.21</v>
          </cell>
          <cell r="T97">
            <v>55373600.36</v>
          </cell>
          <cell r="U97">
            <v>40468429.99</v>
          </cell>
          <cell r="V97">
            <v>38347203.09</v>
          </cell>
        </row>
        <row r="98">
          <cell r="A98" t="str">
            <v>Nondon Kanon</v>
          </cell>
          <cell r="B98">
            <v>658484.57</v>
          </cell>
          <cell r="C98">
            <v>255297.1</v>
          </cell>
          <cell r="D98">
            <v>195608.52</v>
          </cell>
          <cell r="E98">
            <v>9106352.78</v>
          </cell>
          <cell r="F98">
            <v>4608840.32</v>
          </cell>
          <cell r="G98">
            <v>4516704.41</v>
          </cell>
          <cell r="H98">
            <v>32258090.24</v>
          </cell>
          <cell r="I98">
            <v>18497306.21</v>
          </cell>
          <cell r="J98">
            <v>18103794.8</v>
          </cell>
          <cell r="K98">
            <v>6822312.11</v>
          </cell>
          <cell r="L98">
            <v>7014235.85</v>
          </cell>
          <cell r="M98">
            <v>6416919.06</v>
          </cell>
          <cell r="N98">
            <v>3319831.37</v>
          </cell>
          <cell r="O98">
            <v>3349476.31</v>
          </cell>
          <cell r="P98">
            <v>2915043.22</v>
          </cell>
          <cell r="Q98">
            <v>2061164.49</v>
          </cell>
          <cell r="R98">
            <v>2062596</v>
          </cell>
          <cell r="S98">
            <v>2061164.49</v>
          </cell>
          <cell r="T98">
            <v>54226235.56</v>
          </cell>
          <cell r="U98">
            <v>35787751.79</v>
          </cell>
          <cell r="V98">
            <v>34209234.5</v>
          </cell>
        </row>
        <row r="99">
          <cell r="A99" t="str">
            <v>Pabna</v>
          </cell>
          <cell r="B99">
            <v>2378387.21</v>
          </cell>
          <cell r="C99">
            <v>2276963.46</v>
          </cell>
          <cell r="D99">
            <v>2213579.9</v>
          </cell>
          <cell r="E99">
            <v>13464423.78</v>
          </cell>
          <cell r="F99">
            <v>11298153.54</v>
          </cell>
          <cell r="G99">
            <v>11063169.46</v>
          </cell>
          <cell r="H99">
            <v>18691211.84</v>
          </cell>
          <cell r="I99">
            <v>16268599.51</v>
          </cell>
          <cell r="J99">
            <v>15589346.84</v>
          </cell>
          <cell r="K99">
            <v>5629290.45</v>
          </cell>
          <cell r="L99">
            <v>5636353.79</v>
          </cell>
          <cell r="M99">
            <v>5594296.64</v>
          </cell>
          <cell r="N99">
            <v>5523556.62</v>
          </cell>
          <cell r="O99">
            <v>5526375.61</v>
          </cell>
          <cell r="P99">
            <v>5523556.62</v>
          </cell>
          <cell r="Q99">
            <v>7592709.88</v>
          </cell>
          <cell r="R99">
            <v>5552653.84</v>
          </cell>
          <cell r="S99">
            <v>5548715.87</v>
          </cell>
          <cell r="T99">
            <v>53279579.78</v>
          </cell>
          <cell r="U99">
            <v>46559099.75</v>
          </cell>
          <cell r="V99">
            <v>45532665.33</v>
          </cell>
        </row>
        <row r="100">
          <cell r="A100" t="str">
            <v>Pahartali</v>
          </cell>
          <cell r="B100">
            <v>923991.36</v>
          </cell>
          <cell r="C100">
            <v>628876.33</v>
          </cell>
          <cell r="D100">
            <v>628241.57</v>
          </cell>
          <cell r="E100">
            <v>11723449.66</v>
          </cell>
          <cell r="F100">
            <v>10660361.58</v>
          </cell>
          <cell r="G100">
            <v>10238072.85</v>
          </cell>
          <cell r="H100">
            <v>14479776.87</v>
          </cell>
          <cell r="I100">
            <v>11139499.18</v>
          </cell>
          <cell r="J100">
            <v>10926522</v>
          </cell>
          <cell r="K100">
            <v>13621107.05</v>
          </cell>
          <cell r="L100">
            <v>4518395.85</v>
          </cell>
          <cell r="M100">
            <v>4262164.26</v>
          </cell>
          <cell r="N100">
            <v>1752539.91</v>
          </cell>
          <cell r="O100">
            <v>1407098.82</v>
          </cell>
          <cell r="P100">
            <v>1298861.01</v>
          </cell>
        </row>
        <row r="100">
          <cell r="T100">
            <v>42500864.85</v>
          </cell>
          <cell r="U100">
            <v>28354231.76</v>
          </cell>
          <cell r="V100">
            <v>27353861.69</v>
          </cell>
        </row>
        <row r="101">
          <cell r="A101" t="str">
            <v>Panchaghar</v>
          </cell>
          <cell r="B101">
            <v>2158814.48</v>
          </cell>
          <cell r="C101">
            <v>1741681.86</v>
          </cell>
          <cell r="D101">
            <v>1740706.37</v>
          </cell>
          <cell r="E101">
            <v>8090651.91</v>
          </cell>
          <cell r="F101">
            <v>5047823.72</v>
          </cell>
          <cell r="G101">
            <v>4996598.46</v>
          </cell>
          <cell r="H101">
            <v>9253494.01</v>
          </cell>
          <cell r="I101">
            <v>8090613.69</v>
          </cell>
          <cell r="J101">
            <v>8080674.26</v>
          </cell>
          <cell r="K101">
            <v>841617.89</v>
          </cell>
          <cell r="L101">
            <v>690981.32</v>
          </cell>
          <cell r="M101">
            <v>690981.32</v>
          </cell>
          <cell r="N101">
            <v>948670.16</v>
          </cell>
          <cell r="O101">
            <v>325000</v>
          </cell>
          <cell r="P101">
            <v>324943.88</v>
          </cell>
        </row>
        <row r="101">
          <cell r="T101">
            <v>21293248.45</v>
          </cell>
          <cell r="U101">
            <v>15896100.59</v>
          </cell>
          <cell r="V101">
            <v>15833904.29</v>
          </cell>
        </row>
        <row r="102">
          <cell r="A102" t="str">
            <v>Patuakhali</v>
          </cell>
          <cell r="B102">
            <v>4559278.77</v>
          </cell>
          <cell r="C102">
            <v>2167245.8</v>
          </cell>
          <cell r="D102">
            <v>1992484.92</v>
          </cell>
          <cell r="E102">
            <v>23338917.32</v>
          </cell>
          <cell r="F102">
            <v>15016788.85</v>
          </cell>
          <cell r="G102">
            <v>14613117.16</v>
          </cell>
          <cell r="H102">
            <v>18314966.7</v>
          </cell>
          <cell r="I102">
            <v>12537430.85</v>
          </cell>
          <cell r="J102">
            <v>12330260.02</v>
          </cell>
          <cell r="K102">
            <v>2407190.34</v>
          </cell>
          <cell r="L102">
            <v>2139560.37</v>
          </cell>
          <cell r="M102">
            <v>2138554.87</v>
          </cell>
          <cell r="N102">
            <v>1830778.13</v>
          </cell>
          <cell r="O102">
            <v>10000</v>
          </cell>
          <cell r="P102">
            <v>10000</v>
          </cell>
        </row>
        <row r="102">
          <cell r="T102">
            <v>50451131.26</v>
          </cell>
          <cell r="U102">
            <v>31871025.87</v>
          </cell>
          <cell r="V102">
            <v>31084416.97</v>
          </cell>
        </row>
        <row r="103">
          <cell r="A103" t="str">
            <v>Potiya</v>
          </cell>
          <cell r="B103">
            <v>3036652.17</v>
          </cell>
          <cell r="C103">
            <v>1979635.01</v>
          </cell>
          <cell r="D103">
            <v>1904533.56</v>
          </cell>
          <cell r="E103">
            <v>9297944.64</v>
          </cell>
          <cell r="F103">
            <v>6794864</v>
          </cell>
          <cell r="G103">
            <v>6195349.39</v>
          </cell>
          <cell r="H103">
            <v>12589810.72</v>
          </cell>
          <cell r="I103">
            <v>7156951.52</v>
          </cell>
          <cell r="J103">
            <v>6939355.39</v>
          </cell>
          <cell r="K103">
            <v>994450.85</v>
          </cell>
          <cell r="L103">
            <v>796543.76</v>
          </cell>
          <cell r="M103">
            <v>795274.21</v>
          </cell>
          <cell r="N103">
            <v>1183792.92</v>
          </cell>
          <cell r="O103">
            <v>1186740.82</v>
          </cell>
          <cell r="P103">
            <v>1183792.92</v>
          </cell>
        </row>
        <row r="103">
          <cell r="T103">
            <v>27102651.3</v>
          </cell>
          <cell r="U103">
            <v>17914735.11</v>
          </cell>
          <cell r="V103">
            <v>17018305.47</v>
          </cell>
        </row>
        <row r="104">
          <cell r="A104" t="str">
            <v>Rajbari</v>
          </cell>
          <cell r="B104">
            <v>4507551.44</v>
          </cell>
          <cell r="C104">
            <v>3324767.13</v>
          </cell>
          <cell r="D104">
            <v>3242454.19</v>
          </cell>
          <cell r="E104">
            <v>11698357.26</v>
          </cell>
          <cell r="F104">
            <v>8198647.59</v>
          </cell>
          <cell r="G104">
            <v>7968990.99</v>
          </cell>
          <cell r="H104">
            <v>6762607.58</v>
          </cell>
          <cell r="I104">
            <v>4951916.42</v>
          </cell>
          <cell r="J104">
            <v>4743215.49</v>
          </cell>
          <cell r="K104">
            <v>2508581.26</v>
          </cell>
          <cell r="L104">
            <v>1322025.34</v>
          </cell>
          <cell r="M104">
            <v>1321419.78</v>
          </cell>
          <cell r="N104">
            <v>962235.65</v>
          </cell>
          <cell r="O104">
            <v>336939.52</v>
          </cell>
          <cell r="P104">
            <v>336939.52</v>
          </cell>
          <cell r="Q104">
            <v>374619.66</v>
          </cell>
          <cell r="R104">
            <v>374937.04</v>
          </cell>
          <cell r="S104">
            <v>374619.66</v>
          </cell>
          <cell r="T104">
            <v>26813952.85</v>
          </cell>
          <cell r="U104">
            <v>18509233.04</v>
          </cell>
          <cell r="V104">
            <v>17987639.63</v>
          </cell>
        </row>
        <row r="105">
          <cell r="A105" t="str">
            <v>Rajshahi</v>
          </cell>
          <cell r="B105">
            <v>1990089.84</v>
          </cell>
          <cell r="C105">
            <v>1166043.1</v>
          </cell>
          <cell r="D105">
            <v>1119056.71</v>
          </cell>
          <cell r="E105">
            <v>17911837.74</v>
          </cell>
          <cell r="F105">
            <v>12711093.87</v>
          </cell>
          <cell r="G105">
            <v>12302385.74</v>
          </cell>
          <cell r="H105">
            <v>24018451.49</v>
          </cell>
          <cell r="I105">
            <v>21062803.19</v>
          </cell>
          <cell r="J105">
            <v>20873053.55</v>
          </cell>
          <cell r="K105">
            <v>6076473.74</v>
          </cell>
          <cell r="L105">
            <v>5482568.99</v>
          </cell>
          <cell r="M105">
            <v>5479253.81</v>
          </cell>
          <cell r="N105">
            <v>4983779.67</v>
          </cell>
          <cell r="O105">
            <v>4986495.49</v>
          </cell>
          <cell r="P105">
            <v>4983779.67</v>
          </cell>
          <cell r="Q105">
            <v>2674452.03</v>
          </cell>
          <cell r="R105">
            <v>2675019.65</v>
          </cell>
          <cell r="S105">
            <v>2674452.03</v>
          </cell>
          <cell r="T105">
            <v>57655084.51</v>
          </cell>
          <cell r="U105">
            <v>48084024.29</v>
          </cell>
          <cell r="V105">
            <v>47431981.51</v>
          </cell>
        </row>
        <row r="106">
          <cell r="A106" t="str">
            <v>Rangpur</v>
          </cell>
          <cell r="B106">
            <v>4531753.33</v>
          </cell>
          <cell r="C106">
            <v>2722055.77</v>
          </cell>
          <cell r="D106">
            <v>2661489.05</v>
          </cell>
          <cell r="E106">
            <v>8973850.4</v>
          </cell>
          <cell r="F106">
            <v>7250873.22</v>
          </cell>
          <cell r="G106">
            <v>6996241.02</v>
          </cell>
          <cell r="H106">
            <v>10894879.1</v>
          </cell>
          <cell r="I106">
            <v>9121199.05</v>
          </cell>
          <cell r="J106">
            <v>8956915.5</v>
          </cell>
          <cell r="K106">
            <v>3296573.4</v>
          </cell>
          <cell r="L106">
            <v>3452701.01</v>
          </cell>
          <cell r="M106">
            <v>3296573.4</v>
          </cell>
          <cell r="N106">
            <v>3419551.71</v>
          </cell>
          <cell r="O106">
            <v>3422088.79</v>
          </cell>
          <cell r="P106">
            <v>3419551.71</v>
          </cell>
          <cell r="Q106">
            <v>9308674.55</v>
          </cell>
          <cell r="R106">
            <v>8821805.69</v>
          </cell>
          <cell r="S106">
            <v>6923470.85</v>
          </cell>
          <cell r="T106">
            <v>40425282.49</v>
          </cell>
          <cell r="U106">
            <v>34790723.53</v>
          </cell>
          <cell r="V106">
            <v>32254241.53</v>
          </cell>
        </row>
        <row r="107">
          <cell r="A107" t="str">
            <v>Sathkhira</v>
          </cell>
          <cell r="B107">
            <v>994176.16</v>
          </cell>
          <cell r="C107">
            <v>926605.96</v>
          </cell>
          <cell r="D107">
            <v>924954.76</v>
          </cell>
          <cell r="E107">
            <v>4529476.89</v>
          </cell>
          <cell r="F107">
            <v>4059223.25</v>
          </cell>
          <cell r="G107">
            <v>4002139.72</v>
          </cell>
          <cell r="H107">
            <v>2462092.24</v>
          </cell>
          <cell r="I107">
            <v>2342906.82</v>
          </cell>
          <cell r="J107">
            <v>2339982.88</v>
          </cell>
          <cell r="K107">
            <v>718880.96</v>
          </cell>
          <cell r="L107">
            <v>718947.7</v>
          </cell>
          <cell r="M107">
            <v>718880.96</v>
          </cell>
        </row>
        <row r="107">
          <cell r="T107">
            <v>8704626.25</v>
          </cell>
          <cell r="U107">
            <v>8047683.73</v>
          </cell>
          <cell r="V107">
            <v>7985958.32</v>
          </cell>
        </row>
        <row r="108">
          <cell r="A108" t="str">
            <v>Savar</v>
          </cell>
          <cell r="B108">
            <v>1052003.46</v>
          </cell>
          <cell r="C108">
            <v>521081.79</v>
          </cell>
          <cell r="D108">
            <v>452522.05</v>
          </cell>
          <cell r="E108">
            <v>9238265.9</v>
          </cell>
          <cell r="F108">
            <v>5891138.36</v>
          </cell>
          <cell r="G108">
            <v>5761705.95</v>
          </cell>
          <cell r="H108">
            <v>10354706.42</v>
          </cell>
          <cell r="I108">
            <v>6622279.16</v>
          </cell>
          <cell r="J108">
            <v>6433181.53</v>
          </cell>
          <cell r="K108">
            <v>3506903.77</v>
          </cell>
          <cell r="L108">
            <v>2472229.46</v>
          </cell>
          <cell r="M108">
            <v>2289832.92</v>
          </cell>
          <cell r="N108">
            <v>3378270.16</v>
          </cell>
          <cell r="O108">
            <v>1879636.98</v>
          </cell>
          <cell r="P108">
            <v>1875945.61</v>
          </cell>
          <cell r="Q108">
            <v>1230892.97</v>
          </cell>
          <cell r="R108">
            <v>802384.33</v>
          </cell>
          <cell r="S108">
            <v>802384.33</v>
          </cell>
          <cell r="T108">
            <v>28761042.68</v>
          </cell>
          <cell r="U108">
            <v>18188750.08</v>
          </cell>
          <cell r="V108">
            <v>17615572.39</v>
          </cell>
        </row>
        <row r="109">
          <cell r="A109" t="str">
            <v>Savar-2</v>
          </cell>
          <cell r="B109">
            <v>923667.43</v>
          </cell>
          <cell r="C109">
            <v>741047.99</v>
          </cell>
          <cell r="D109">
            <v>739647.71</v>
          </cell>
          <cell r="E109">
            <v>8161450.87</v>
          </cell>
          <cell r="F109">
            <v>6214358.56</v>
          </cell>
          <cell r="G109">
            <v>6166194.29</v>
          </cell>
          <cell r="H109">
            <v>6316882.92</v>
          </cell>
          <cell r="I109">
            <v>5405528.69</v>
          </cell>
          <cell r="J109">
            <v>5207129.33</v>
          </cell>
          <cell r="K109">
            <v>8293156.98</v>
          </cell>
          <cell r="L109">
            <v>1882053.15</v>
          </cell>
          <cell r="M109">
            <v>1880962.05</v>
          </cell>
          <cell r="N109">
            <v>1477814.52</v>
          </cell>
          <cell r="O109">
            <v>1327947.38</v>
          </cell>
          <cell r="P109">
            <v>1327765.52</v>
          </cell>
          <cell r="Q109">
            <v>4906080.92</v>
          </cell>
          <cell r="R109">
            <v>3214477.57</v>
          </cell>
          <cell r="S109">
            <v>3213728.73</v>
          </cell>
          <cell r="T109">
            <v>30079053.64</v>
          </cell>
          <cell r="U109">
            <v>18785413.34</v>
          </cell>
          <cell r="V109">
            <v>18535427.63</v>
          </cell>
        </row>
        <row r="110">
          <cell r="A110" t="str">
            <v>Shaheshtagonj</v>
          </cell>
          <cell r="B110">
            <v>12419830.75</v>
          </cell>
          <cell r="C110">
            <v>11205206.71</v>
          </cell>
          <cell r="D110">
            <v>10977507.22</v>
          </cell>
          <cell r="E110">
            <v>19197093.23</v>
          </cell>
          <cell r="F110">
            <v>16581142.99</v>
          </cell>
          <cell r="G110">
            <v>16538116.2</v>
          </cell>
          <cell r="H110">
            <v>4026793.84</v>
          </cell>
          <cell r="I110">
            <v>1919806.68</v>
          </cell>
          <cell r="J110">
            <v>1916754.73</v>
          </cell>
        </row>
        <row r="110">
          <cell r="T110">
            <v>35643717.82</v>
          </cell>
          <cell r="U110">
            <v>29706156.38</v>
          </cell>
          <cell r="V110">
            <v>29432378.15</v>
          </cell>
        </row>
        <row r="111">
          <cell r="A111" t="str">
            <v>Shambazar</v>
          </cell>
          <cell r="B111">
            <v>1081338.41</v>
          </cell>
          <cell r="C111">
            <v>156236.72</v>
          </cell>
          <cell r="D111">
            <v>147803.05</v>
          </cell>
          <cell r="E111">
            <v>19172343.87</v>
          </cell>
          <cell r="F111">
            <v>14477779.11</v>
          </cell>
          <cell r="G111">
            <v>12768089.37</v>
          </cell>
          <cell r="H111">
            <v>46880710.76</v>
          </cell>
          <cell r="I111">
            <v>33653661.27</v>
          </cell>
          <cell r="J111">
            <v>27220905.4</v>
          </cell>
          <cell r="K111">
            <v>13143459.78</v>
          </cell>
          <cell r="L111">
            <v>11617305.67</v>
          </cell>
          <cell r="M111">
            <v>11607314.99</v>
          </cell>
          <cell r="N111">
            <v>6620227.71</v>
          </cell>
          <cell r="O111">
            <v>6233991.39</v>
          </cell>
          <cell r="P111">
            <v>6228012.22</v>
          </cell>
          <cell r="Q111">
            <v>4086912.6</v>
          </cell>
          <cell r="R111">
            <v>4088271.35</v>
          </cell>
          <cell r="S111">
            <v>4086912.6</v>
          </cell>
          <cell r="T111">
            <v>90984993.13</v>
          </cell>
          <cell r="U111">
            <v>70227245.51</v>
          </cell>
          <cell r="V111">
            <v>62059037.63</v>
          </cell>
        </row>
        <row r="112">
          <cell r="A112" t="str">
            <v>Shariatpur</v>
          </cell>
          <cell r="B112">
            <v>2015343.45</v>
          </cell>
          <cell r="C112">
            <v>1127227.08</v>
          </cell>
          <cell r="D112">
            <v>1126377.51</v>
          </cell>
          <cell r="E112">
            <v>22062314.32</v>
          </cell>
          <cell r="F112">
            <v>20031963.34</v>
          </cell>
          <cell r="G112">
            <v>19824151.62</v>
          </cell>
          <cell r="H112">
            <v>8889355.93</v>
          </cell>
          <cell r="I112">
            <v>7518111.92</v>
          </cell>
          <cell r="J112">
            <v>7379753.5</v>
          </cell>
          <cell r="K112">
            <v>2672526.04</v>
          </cell>
          <cell r="L112">
            <v>2392186.39</v>
          </cell>
          <cell r="M112">
            <v>2390569.18</v>
          </cell>
          <cell r="N112">
            <v>674115.33</v>
          </cell>
          <cell r="O112">
            <v>674115.54</v>
          </cell>
          <cell r="P112">
            <v>674115.33</v>
          </cell>
          <cell r="Q112">
            <v>1654033.25</v>
          </cell>
          <cell r="R112">
            <v>5203629.37</v>
          </cell>
          <cell r="S112">
            <v>1654033.25</v>
          </cell>
          <cell r="T112">
            <v>37967688.32</v>
          </cell>
          <cell r="U112">
            <v>36947233.64</v>
          </cell>
          <cell r="V112">
            <v>33049000.39</v>
          </cell>
        </row>
        <row r="113">
          <cell r="A113" t="str">
            <v>Sherpur</v>
          </cell>
        </row>
        <row r="113">
          <cell r="E113">
            <v>3601126.21</v>
          </cell>
          <cell r="F113">
            <v>3190027.1</v>
          </cell>
          <cell r="G113">
            <v>3187217.79</v>
          </cell>
          <cell r="H113">
            <v>5906895.52</v>
          </cell>
          <cell r="I113">
            <v>4979665.46</v>
          </cell>
          <cell r="J113">
            <v>4971514</v>
          </cell>
          <cell r="K113">
            <v>881494.8</v>
          </cell>
          <cell r="L113">
            <v>881654.62</v>
          </cell>
          <cell r="M113">
            <v>881494.8</v>
          </cell>
          <cell r="N113">
            <v>553028.34</v>
          </cell>
          <cell r="O113">
            <v>553872.2</v>
          </cell>
          <cell r="P113">
            <v>553028.34</v>
          </cell>
          <cell r="Q113">
            <v>671588.69</v>
          </cell>
          <cell r="R113">
            <v>671756.15</v>
          </cell>
          <cell r="S113">
            <v>671588.69</v>
          </cell>
          <cell r="T113">
            <v>11614133.56</v>
          </cell>
          <cell r="U113">
            <v>10276975.53</v>
          </cell>
          <cell r="V113">
            <v>10264843.62</v>
          </cell>
        </row>
        <row r="114">
          <cell r="A114" t="str">
            <v>Shiddirgonj</v>
          </cell>
          <cell r="B114">
            <v>638601.53</v>
          </cell>
          <cell r="C114">
            <v>520107.68</v>
          </cell>
          <cell r="D114">
            <v>519550.69</v>
          </cell>
          <cell r="E114">
            <v>12690171.88</v>
          </cell>
          <cell r="F114">
            <v>10326355.45</v>
          </cell>
          <cell r="G114">
            <v>10216881.96</v>
          </cell>
          <cell r="H114">
            <v>12852350.19</v>
          </cell>
          <cell r="I114">
            <v>11832108.48</v>
          </cell>
          <cell r="J114">
            <v>11708210.82</v>
          </cell>
          <cell r="K114">
            <v>3113733.44</v>
          </cell>
          <cell r="L114">
            <v>2592388.05</v>
          </cell>
          <cell r="M114">
            <v>2578056.61</v>
          </cell>
          <cell r="N114">
            <v>3170652.61</v>
          </cell>
          <cell r="O114">
            <v>3493015.61</v>
          </cell>
          <cell r="P114">
            <v>3170652.61</v>
          </cell>
          <cell r="Q114">
            <v>512664.45</v>
          </cell>
          <cell r="R114">
            <v>513971.68</v>
          </cell>
          <cell r="S114">
            <v>512664.45</v>
          </cell>
          <cell r="T114">
            <v>32978174.1</v>
          </cell>
          <cell r="U114">
            <v>29277946.95</v>
          </cell>
          <cell r="V114">
            <v>28706017.14</v>
          </cell>
        </row>
        <row r="115">
          <cell r="A115" t="str">
            <v>Sirajgonj</v>
          </cell>
          <cell r="B115">
            <v>2770957.48</v>
          </cell>
          <cell r="C115">
            <v>1893484.05</v>
          </cell>
          <cell r="D115">
            <v>1778718.07</v>
          </cell>
          <cell r="E115">
            <v>11158502.03</v>
          </cell>
          <cell r="F115">
            <v>9627578.63</v>
          </cell>
          <cell r="G115">
            <v>9331816.19</v>
          </cell>
          <cell r="H115">
            <v>12650627.92</v>
          </cell>
          <cell r="I115">
            <v>11583722.43</v>
          </cell>
          <cell r="J115">
            <v>11463882.86</v>
          </cell>
          <cell r="K115">
            <v>3587138.37</v>
          </cell>
          <cell r="L115">
            <v>3582644.21</v>
          </cell>
          <cell r="M115">
            <v>3579781.63</v>
          </cell>
          <cell r="N115">
            <v>6354385.92</v>
          </cell>
          <cell r="O115">
            <v>5461086.68</v>
          </cell>
          <cell r="P115">
            <v>5457029.63</v>
          </cell>
        </row>
        <row r="115">
          <cell r="T115">
            <v>36521611.72</v>
          </cell>
          <cell r="U115">
            <v>32148516</v>
          </cell>
          <cell r="V115">
            <v>31611228.38</v>
          </cell>
        </row>
        <row r="116">
          <cell r="A116" t="str">
            <v>Sonir Akhra</v>
          </cell>
          <cell r="B116">
            <v>355916.65</v>
          </cell>
          <cell r="C116">
            <v>242456.43</v>
          </cell>
          <cell r="D116">
            <v>242351.64</v>
          </cell>
          <cell r="E116">
            <v>9838331.89</v>
          </cell>
          <cell r="F116">
            <v>6964221.28</v>
          </cell>
          <cell r="G116">
            <v>6905866.99</v>
          </cell>
          <cell r="H116">
            <v>8848665.51</v>
          </cell>
          <cell r="I116">
            <v>7708791.57</v>
          </cell>
          <cell r="J116">
            <v>7615366.85</v>
          </cell>
          <cell r="K116">
            <v>2210027</v>
          </cell>
          <cell r="L116">
            <v>1447128.25</v>
          </cell>
          <cell r="M116">
            <v>1446952.12</v>
          </cell>
          <cell r="N116">
            <v>4494726.61</v>
          </cell>
          <cell r="O116">
            <v>4672775.7</v>
          </cell>
          <cell r="P116">
            <v>4494726.61</v>
          </cell>
          <cell r="Q116">
            <v>5381669.68</v>
          </cell>
          <cell r="R116">
            <v>3659610.04</v>
          </cell>
          <cell r="S116">
            <v>3658457.64</v>
          </cell>
          <cell r="T116">
            <v>31129337.34</v>
          </cell>
          <cell r="U116">
            <v>24694983.27</v>
          </cell>
          <cell r="V116">
            <v>24363721.85</v>
          </cell>
        </row>
        <row r="117">
          <cell r="A117" t="str">
            <v>South Surma</v>
          </cell>
          <cell r="B117">
            <v>2174042.45</v>
          </cell>
          <cell r="C117">
            <v>1799217.71</v>
          </cell>
          <cell r="D117">
            <v>1738053.44</v>
          </cell>
          <cell r="E117">
            <v>9632470.13</v>
          </cell>
          <cell r="F117">
            <v>5823801.01</v>
          </cell>
          <cell r="G117">
            <v>5514691.54</v>
          </cell>
          <cell r="H117">
            <v>3484271.25</v>
          </cell>
          <cell r="I117">
            <v>2793328.71</v>
          </cell>
          <cell r="J117">
            <v>2617087.2</v>
          </cell>
          <cell r="K117">
            <v>2078785.64</v>
          </cell>
          <cell r="L117">
            <v>1745828.05</v>
          </cell>
          <cell r="M117">
            <v>1742835.91</v>
          </cell>
          <cell r="N117">
            <v>951239.54</v>
          </cell>
          <cell r="O117">
            <v>951239.54</v>
          </cell>
          <cell r="P117">
            <v>951239.54</v>
          </cell>
        </row>
        <row r="117">
          <cell r="T117">
            <v>18320809.01</v>
          </cell>
          <cell r="U117">
            <v>13113415.02</v>
          </cell>
          <cell r="V117">
            <v>12563907.63</v>
          </cell>
        </row>
        <row r="118">
          <cell r="A118" t="str">
            <v>Sreenagar</v>
          </cell>
          <cell r="B118">
            <v>4111299.45</v>
          </cell>
          <cell r="C118">
            <v>3747857.52</v>
          </cell>
          <cell r="D118">
            <v>3717659.17</v>
          </cell>
          <cell r="E118">
            <v>18453356.8</v>
          </cell>
          <cell r="F118">
            <v>15271270.4</v>
          </cell>
          <cell r="G118">
            <v>15161795.63</v>
          </cell>
          <cell r="H118">
            <v>1351719.5</v>
          </cell>
          <cell r="I118">
            <v>1278918.98</v>
          </cell>
          <cell r="J118">
            <v>1277140.91</v>
          </cell>
        </row>
        <row r="118">
          <cell r="T118">
            <v>23916375.75</v>
          </cell>
          <cell r="U118">
            <v>20298046.9</v>
          </cell>
          <cell r="V118">
            <v>20156595.71</v>
          </cell>
        </row>
        <row r="119">
          <cell r="A119" t="str">
            <v>Sreepur</v>
          </cell>
          <cell r="B119">
            <v>417465.47</v>
          </cell>
          <cell r="C119">
            <v>311145.96</v>
          </cell>
          <cell r="D119">
            <v>292680.27</v>
          </cell>
          <cell r="E119">
            <v>9885760.33</v>
          </cell>
          <cell r="F119">
            <v>8032715.68</v>
          </cell>
          <cell r="G119">
            <v>7906532.96</v>
          </cell>
          <cell r="H119">
            <v>16780131.54</v>
          </cell>
          <cell r="I119">
            <v>15289317.82</v>
          </cell>
          <cell r="J119">
            <v>15174445.07</v>
          </cell>
          <cell r="K119">
            <v>3506987.01</v>
          </cell>
          <cell r="L119">
            <v>3395328.21</v>
          </cell>
          <cell r="M119">
            <v>3233765.01</v>
          </cell>
          <cell r="N119">
            <v>2256717.89</v>
          </cell>
          <cell r="O119">
            <v>2257319.61</v>
          </cell>
          <cell r="P119">
            <v>2256717.89</v>
          </cell>
          <cell r="Q119">
            <v>3496915.83</v>
          </cell>
          <cell r="R119">
            <v>3560614.62</v>
          </cell>
          <cell r="S119">
            <v>3309967.42</v>
          </cell>
          <cell r="T119">
            <v>36343978.07</v>
          </cell>
          <cell r="U119">
            <v>32846441.9</v>
          </cell>
          <cell r="V119">
            <v>32174108.62</v>
          </cell>
        </row>
        <row r="120">
          <cell r="A120" t="str">
            <v>Swarupkathi</v>
          </cell>
          <cell r="B120">
            <v>6282505.11</v>
          </cell>
          <cell r="C120">
            <v>3042060.47</v>
          </cell>
          <cell r="D120">
            <v>2955459.27</v>
          </cell>
          <cell r="E120">
            <v>11549195.79</v>
          </cell>
          <cell r="F120">
            <v>6862551.36</v>
          </cell>
          <cell r="G120">
            <v>6751040.56</v>
          </cell>
          <cell r="H120">
            <v>7044851.88</v>
          </cell>
          <cell r="I120">
            <v>4777189.59</v>
          </cell>
          <cell r="J120">
            <v>4442257.16</v>
          </cell>
          <cell r="K120">
            <v>877410.77</v>
          </cell>
          <cell r="L120">
            <v>877743.96</v>
          </cell>
          <cell r="M120">
            <v>877410.77</v>
          </cell>
        </row>
        <row r="120">
          <cell r="T120">
            <v>25753963.55</v>
          </cell>
          <cell r="U120">
            <v>15559545.38</v>
          </cell>
          <cell r="V120">
            <v>15026167.76</v>
          </cell>
        </row>
        <row r="121">
          <cell r="A121" t="str">
            <v>Syedpur</v>
          </cell>
          <cell r="B121">
            <v>3149622.03</v>
          </cell>
          <cell r="C121">
            <v>2148945.72</v>
          </cell>
          <cell r="D121">
            <v>2145841.57</v>
          </cell>
          <cell r="E121">
            <v>8751597.8</v>
          </cell>
          <cell r="F121">
            <v>8355826.82</v>
          </cell>
          <cell r="G121">
            <v>8304950.48</v>
          </cell>
          <cell r="H121">
            <v>10795598.12</v>
          </cell>
          <cell r="I121">
            <v>9005204.42</v>
          </cell>
          <cell r="J121">
            <v>8987739.54</v>
          </cell>
          <cell r="K121">
            <v>2010023.75</v>
          </cell>
          <cell r="L121">
            <v>2000149.3</v>
          </cell>
          <cell r="M121">
            <v>1998809.57</v>
          </cell>
          <cell r="N121">
            <v>1864944.42</v>
          </cell>
          <cell r="O121">
            <v>1729766.6</v>
          </cell>
          <cell r="P121">
            <v>1729525.7</v>
          </cell>
          <cell r="Q121">
            <v>725519.31</v>
          </cell>
          <cell r="R121">
            <v>725519.31</v>
          </cell>
          <cell r="S121">
            <v>725519.31</v>
          </cell>
          <cell r="T121">
            <v>27297305.43</v>
          </cell>
          <cell r="U121">
            <v>23965412.17</v>
          </cell>
          <cell r="V121">
            <v>23892386.17</v>
          </cell>
        </row>
        <row r="122">
          <cell r="A122" t="str">
            <v>Tangail</v>
          </cell>
          <cell r="B122">
            <v>3375396.32</v>
          </cell>
          <cell r="C122">
            <v>2019703.4</v>
          </cell>
          <cell r="D122">
            <v>2016615.87</v>
          </cell>
          <cell r="E122">
            <v>15569104.05</v>
          </cell>
          <cell r="F122">
            <v>11592431.44</v>
          </cell>
          <cell r="G122">
            <v>11301950.34</v>
          </cell>
          <cell r="H122">
            <v>8389893.23</v>
          </cell>
          <cell r="I122">
            <v>6558183.71</v>
          </cell>
          <cell r="J122">
            <v>6420081.77</v>
          </cell>
          <cell r="K122">
            <v>2430042.21</v>
          </cell>
          <cell r="L122">
            <v>2637777.42</v>
          </cell>
          <cell r="M122">
            <v>2159685.51</v>
          </cell>
          <cell r="N122">
            <v>3215646.4</v>
          </cell>
          <cell r="O122">
            <v>3216731.41</v>
          </cell>
          <cell r="P122">
            <v>3215646.4</v>
          </cell>
          <cell r="Q122">
            <v>408676</v>
          </cell>
          <cell r="R122">
            <v>421075.15</v>
          </cell>
          <cell r="S122">
            <v>408676</v>
          </cell>
          <cell r="T122">
            <v>33388758.21</v>
          </cell>
          <cell r="U122">
            <v>26445902.53</v>
          </cell>
          <cell r="V122">
            <v>25522655.89</v>
          </cell>
        </row>
        <row r="123">
          <cell r="A123" t="str">
            <v>Thakurgaon</v>
          </cell>
          <cell r="B123">
            <v>2490867.08</v>
          </cell>
          <cell r="C123">
            <v>1333959.35</v>
          </cell>
          <cell r="D123">
            <v>1270909.69</v>
          </cell>
          <cell r="E123">
            <v>10242819.26</v>
          </cell>
          <cell r="F123">
            <v>6849705.07</v>
          </cell>
          <cell r="G123">
            <v>6825299.26</v>
          </cell>
          <cell r="H123">
            <v>10135410.78</v>
          </cell>
          <cell r="I123">
            <v>9134825.19</v>
          </cell>
          <cell r="J123">
            <v>9123329.41</v>
          </cell>
          <cell r="K123">
            <v>2377691.35</v>
          </cell>
          <cell r="L123">
            <v>2378316.74</v>
          </cell>
          <cell r="M123">
            <v>2377691.35</v>
          </cell>
          <cell r="N123">
            <v>3014994.47</v>
          </cell>
          <cell r="O123">
            <v>2302150.35</v>
          </cell>
          <cell r="P123">
            <v>2292745.58</v>
          </cell>
          <cell r="Q123">
            <v>2714700.42</v>
          </cell>
          <cell r="R123">
            <v>2761063.53</v>
          </cell>
          <cell r="S123">
            <v>2714700.42</v>
          </cell>
          <cell r="T123">
            <v>30976483.36</v>
          </cell>
          <cell r="U123">
            <v>24760020.23</v>
          </cell>
          <cell r="V123">
            <v>24604675.71</v>
          </cell>
        </row>
        <row r="124">
          <cell r="A124" t="str">
            <v>Tongi</v>
          </cell>
          <cell r="B124">
            <v>1548741.58</v>
          </cell>
          <cell r="C124">
            <v>601393.82</v>
          </cell>
          <cell r="D124">
            <v>600354.46</v>
          </cell>
          <cell r="E124">
            <v>14705740.76</v>
          </cell>
          <cell r="F124">
            <v>7765776.98</v>
          </cell>
          <cell r="G124">
            <v>7306668.25</v>
          </cell>
          <cell r="H124">
            <v>18443583.52</v>
          </cell>
          <cell r="I124">
            <v>13796926.04</v>
          </cell>
          <cell r="J124">
            <v>12470663.25</v>
          </cell>
          <cell r="K124">
            <v>2367185.44</v>
          </cell>
          <cell r="L124">
            <v>2889026.44</v>
          </cell>
          <cell r="M124">
            <v>2367185.44</v>
          </cell>
          <cell r="N124">
            <v>1149655.03</v>
          </cell>
          <cell r="O124">
            <v>1151378.2</v>
          </cell>
          <cell r="P124">
            <v>1149655.03</v>
          </cell>
          <cell r="Q124">
            <v>3178934.72</v>
          </cell>
          <cell r="R124">
            <v>3179247.85</v>
          </cell>
          <cell r="S124">
            <v>3178934.72</v>
          </cell>
          <cell r="T124">
            <v>41393841.05</v>
          </cell>
          <cell r="U124">
            <v>29383749.33</v>
          </cell>
          <cell r="V124">
            <v>27073461.15</v>
          </cell>
        </row>
        <row r="125">
          <cell r="A125" t="str">
            <v>Zinzira</v>
          </cell>
          <cell r="B125">
            <v>5714995.48</v>
          </cell>
          <cell r="C125">
            <v>2434523.02</v>
          </cell>
          <cell r="D125">
            <v>2433239.56</v>
          </cell>
          <cell r="E125">
            <v>26102368.72</v>
          </cell>
          <cell r="F125">
            <v>12061370.22</v>
          </cell>
          <cell r="G125">
            <v>11241457.56</v>
          </cell>
          <cell r="H125">
            <v>12428229.85</v>
          </cell>
          <cell r="I125">
            <v>10072350.23</v>
          </cell>
          <cell r="J125">
            <v>9627923.64</v>
          </cell>
          <cell r="K125">
            <v>3213073.55</v>
          </cell>
          <cell r="L125">
            <v>3209717.72</v>
          </cell>
          <cell r="M125">
            <v>3207307.58</v>
          </cell>
          <cell r="N125">
            <v>8477129.47</v>
          </cell>
          <cell r="O125">
            <v>1943030.18</v>
          </cell>
          <cell r="P125">
            <v>1941757.85</v>
          </cell>
          <cell r="Q125">
            <v>1345042.95</v>
          </cell>
          <cell r="R125">
            <v>1345042.95</v>
          </cell>
          <cell r="S125">
            <v>1345042.95</v>
          </cell>
          <cell r="T125">
            <v>57280840.02</v>
          </cell>
          <cell r="U125">
            <v>31066034.32</v>
          </cell>
          <cell r="V125">
            <v>29796729.14</v>
          </cell>
        </row>
        <row r="126">
          <cell r="A126" t="str">
            <v>Zurain</v>
          </cell>
        </row>
        <row r="126">
          <cell r="E126">
            <v>283399.36</v>
          </cell>
        </row>
        <row r="126">
          <cell r="G126">
            <v>0</v>
          </cell>
          <cell r="H126">
            <v>303605.58</v>
          </cell>
        </row>
        <row r="126">
          <cell r="J126">
            <v>0</v>
          </cell>
        </row>
        <row r="126">
          <cell r="T126">
            <v>587004.94</v>
          </cell>
        </row>
        <row r="126">
          <cell r="V126">
            <v>0</v>
          </cell>
        </row>
        <row r="127">
          <cell r="A127" t="str">
            <v>Grand Total</v>
          </cell>
          <cell r="B127">
            <v>363400229.26</v>
          </cell>
          <cell r="C127">
            <v>247559021.77</v>
          </cell>
          <cell r="D127">
            <v>241679394.71</v>
          </cell>
          <cell r="E127">
            <v>1694790392.85</v>
          </cell>
          <cell r="F127">
            <v>1226829484.22</v>
          </cell>
          <cell r="G127">
            <v>1192659072.69</v>
          </cell>
          <cell r="H127">
            <v>1513556568.53</v>
          </cell>
          <cell r="I127">
            <v>1112696547</v>
          </cell>
          <cell r="J127">
            <v>1071886699.86</v>
          </cell>
          <cell r="K127">
            <v>406250505.91</v>
          </cell>
          <cell r="L127">
            <v>327196524.06</v>
          </cell>
          <cell r="M127">
            <v>317872481.88</v>
          </cell>
          <cell r="N127">
            <v>320311643.54</v>
          </cell>
          <cell r="O127">
            <v>270636854.92</v>
          </cell>
          <cell r="P127">
            <v>262335672.61</v>
          </cell>
          <cell r="Q127">
            <v>294889909.55</v>
          </cell>
          <cell r="R127">
            <v>227479730.26</v>
          </cell>
          <cell r="S127">
            <v>207875942.21</v>
          </cell>
          <cell r="T127">
            <v>4593199249.64</v>
          </cell>
          <cell r="U127">
            <v>3412398162.23</v>
          </cell>
          <cell r="V127">
            <v>3294309263.96</v>
          </cell>
        </row>
      </sheetData>
      <sheetData sheetId="15"/>
      <sheetData sheetId="16"/>
      <sheetData sheetId="17">
        <row r="5">
          <cell r="A5" t="str">
            <v>Agailjhara</v>
          </cell>
          <cell r="B5">
            <v>1949719.24</v>
          </cell>
          <cell r="C5">
            <v>2128548.58</v>
          </cell>
          <cell r="D5">
            <v>2238592.06</v>
          </cell>
        </row>
        <row r="5">
          <cell r="H5">
            <v>6316859.88</v>
          </cell>
        </row>
        <row r="6">
          <cell r="A6" t="str">
            <v>Ambarkhana</v>
          </cell>
          <cell r="B6">
            <v>1924468.95</v>
          </cell>
        </row>
        <row r="6">
          <cell r="H6">
            <v>1924468.95</v>
          </cell>
        </row>
        <row r="7">
          <cell r="A7" t="str">
            <v>Anderkilla</v>
          </cell>
          <cell r="B7">
            <v>797104.31</v>
          </cell>
          <cell r="C7">
            <v>12983175.54</v>
          </cell>
          <cell r="D7">
            <v>12984213.69</v>
          </cell>
        </row>
        <row r="7">
          <cell r="H7">
            <v>26764493.54</v>
          </cell>
        </row>
        <row r="8">
          <cell r="A8" t="str">
            <v>Ashulia</v>
          </cell>
          <cell r="B8">
            <v>307132.5</v>
          </cell>
          <cell r="C8">
            <v>2444085.7</v>
          </cell>
          <cell r="D8">
            <v>2666977.75</v>
          </cell>
        </row>
        <row r="8">
          <cell r="H8">
            <v>5418195.95</v>
          </cell>
        </row>
        <row r="9">
          <cell r="A9" t="str">
            <v>Badda</v>
          </cell>
        </row>
        <row r="9">
          <cell r="C9">
            <v>2364939.79</v>
          </cell>
          <cell r="D9">
            <v>2289122.64</v>
          </cell>
        </row>
        <row r="9">
          <cell r="G9">
            <v>8059527.38</v>
          </cell>
          <cell r="H9">
            <v>12713589.81</v>
          </cell>
        </row>
        <row r="10">
          <cell r="A10" t="str">
            <v>Bagerhat</v>
          </cell>
          <cell r="B10">
            <v>791989.85</v>
          </cell>
          <cell r="C10">
            <v>1710909.31</v>
          </cell>
        </row>
        <row r="10">
          <cell r="H10">
            <v>2502899.16</v>
          </cell>
        </row>
        <row r="11">
          <cell r="A11" t="str">
            <v>Baligaon</v>
          </cell>
          <cell r="B11">
            <v>65661.64</v>
          </cell>
          <cell r="C11">
            <v>1527593.41</v>
          </cell>
        </row>
        <row r="11">
          <cell r="H11">
            <v>1593255.05</v>
          </cell>
        </row>
        <row r="12">
          <cell r="A12" t="str">
            <v>Banasree</v>
          </cell>
          <cell r="B12">
            <v>261854.09</v>
          </cell>
          <cell r="C12">
            <v>3892263.08</v>
          </cell>
          <cell r="D12">
            <v>2082309.87</v>
          </cell>
          <cell r="E12">
            <v>5231850.17</v>
          </cell>
        </row>
        <row r="12">
          <cell r="H12">
            <v>11468277.21</v>
          </cell>
        </row>
        <row r="13">
          <cell r="A13" t="str">
            <v>Bancharampur</v>
          </cell>
          <cell r="B13">
            <v>75202.49</v>
          </cell>
          <cell r="C13">
            <v>3143399.32</v>
          </cell>
        </row>
        <row r="13">
          <cell r="H13">
            <v>3218601.81</v>
          </cell>
        </row>
        <row r="14">
          <cell r="A14" t="str">
            <v>Bandartila </v>
          </cell>
          <cell r="B14">
            <v>1003731.66</v>
          </cell>
          <cell r="C14">
            <v>2400445.66</v>
          </cell>
          <cell r="D14">
            <v>4326710.99</v>
          </cell>
          <cell r="E14">
            <v>4419064.45</v>
          </cell>
          <cell r="F14">
            <v>6809828.29</v>
          </cell>
        </row>
        <row r="14">
          <cell r="H14">
            <v>18959781.05</v>
          </cell>
        </row>
        <row r="15">
          <cell r="A15" t="str">
            <v>Barguna</v>
          </cell>
          <cell r="B15">
            <v>1808821.57</v>
          </cell>
          <cell r="C15">
            <v>4450567</v>
          </cell>
        </row>
        <row r="15">
          <cell r="H15">
            <v>6259388.57</v>
          </cell>
        </row>
        <row r="16">
          <cell r="A16" t="str">
            <v>Barishal</v>
          </cell>
          <cell r="B16">
            <v>655208.25</v>
          </cell>
          <cell r="C16">
            <v>5401413.51</v>
          </cell>
          <cell r="D16">
            <v>5401474.82</v>
          </cell>
        </row>
        <row r="16">
          <cell r="H16">
            <v>11458096.58</v>
          </cell>
        </row>
        <row r="17">
          <cell r="A17" t="str">
            <v>Bhanga</v>
          </cell>
          <cell r="B17">
            <v>1869566.52</v>
          </cell>
          <cell r="C17">
            <v>3361076.48</v>
          </cell>
          <cell r="D17">
            <v>835372.26</v>
          </cell>
        </row>
        <row r="17">
          <cell r="H17">
            <v>6066015.26</v>
          </cell>
        </row>
        <row r="18">
          <cell r="A18" t="str">
            <v>Bharaib</v>
          </cell>
          <cell r="B18">
            <v>522923.41</v>
          </cell>
          <cell r="C18">
            <v>3285676.93</v>
          </cell>
        </row>
        <row r="18">
          <cell r="H18">
            <v>3808600.34</v>
          </cell>
        </row>
        <row r="19">
          <cell r="A19" t="str">
            <v>Bheramara</v>
          </cell>
          <cell r="B19">
            <v>2220455.8</v>
          </cell>
          <cell r="C19">
            <v>2228773.1</v>
          </cell>
          <cell r="D19">
            <v>3902170.39</v>
          </cell>
        </row>
        <row r="19">
          <cell r="H19">
            <v>8351399.29</v>
          </cell>
        </row>
        <row r="20">
          <cell r="A20" t="str">
            <v>Bhola</v>
          </cell>
          <cell r="B20">
            <v>1205621.58</v>
          </cell>
          <cell r="C20">
            <v>1127399.15</v>
          </cell>
          <cell r="D20">
            <v>463011.64</v>
          </cell>
        </row>
        <row r="20">
          <cell r="H20">
            <v>2796032.37</v>
          </cell>
        </row>
        <row r="21">
          <cell r="A21" t="str">
            <v>Bhulta</v>
          </cell>
        </row>
        <row r="21">
          <cell r="C21">
            <v>812961.88</v>
          </cell>
          <cell r="D21">
            <v>2865312.03</v>
          </cell>
        </row>
        <row r="21">
          <cell r="H21">
            <v>3678273.91</v>
          </cell>
        </row>
        <row r="22">
          <cell r="A22" t="str">
            <v>Bogura</v>
          </cell>
          <cell r="B22">
            <v>13688.23</v>
          </cell>
          <cell r="C22">
            <v>6266428.8</v>
          </cell>
          <cell r="D22">
            <v>2860582.52</v>
          </cell>
        </row>
        <row r="22">
          <cell r="H22">
            <v>9140699.55</v>
          </cell>
        </row>
        <row r="23">
          <cell r="A23" t="str">
            <v>Brahmanbaria</v>
          </cell>
          <cell r="B23">
            <v>265125.76</v>
          </cell>
          <cell r="C23">
            <v>5384259.53</v>
          </cell>
          <cell r="D23">
            <v>3359534.53</v>
          </cell>
        </row>
        <row r="23">
          <cell r="H23">
            <v>9008919.82</v>
          </cell>
        </row>
        <row r="24">
          <cell r="A24" t="str">
            <v>C. Nawabganj</v>
          </cell>
          <cell r="B24">
            <v>332835.03</v>
          </cell>
          <cell r="C24">
            <v>1152489.71</v>
          </cell>
          <cell r="D24">
            <v>3373516.19</v>
          </cell>
        </row>
        <row r="24">
          <cell r="H24">
            <v>4858840.93</v>
          </cell>
        </row>
        <row r="25">
          <cell r="A25" t="str">
            <v>Chandina</v>
          </cell>
          <cell r="B25">
            <v>2269370.36</v>
          </cell>
          <cell r="C25">
            <v>1629935.35</v>
          </cell>
          <cell r="D25">
            <v>919091.3</v>
          </cell>
        </row>
        <row r="25">
          <cell r="H25">
            <v>4818397.01</v>
          </cell>
        </row>
        <row r="26">
          <cell r="A26" t="str">
            <v>Chauddagram</v>
          </cell>
          <cell r="B26">
            <v>2390137.09</v>
          </cell>
          <cell r="C26">
            <v>1769197.98</v>
          </cell>
          <cell r="D26">
            <v>931679.72</v>
          </cell>
        </row>
        <row r="26">
          <cell r="F26">
            <v>4119121.05</v>
          </cell>
        </row>
        <row r="26">
          <cell r="H26">
            <v>9210135.84</v>
          </cell>
        </row>
        <row r="27">
          <cell r="A27" t="str">
            <v>Chawk Bazar</v>
          </cell>
          <cell r="B27">
            <v>852086.38</v>
          </cell>
          <cell r="C27">
            <v>9378538.19</v>
          </cell>
          <cell r="D27">
            <v>10496418.59</v>
          </cell>
          <cell r="E27">
            <v>3783147.89</v>
          </cell>
          <cell r="F27">
            <v>9220481.68</v>
          </cell>
        </row>
        <row r="27">
          <cell r="H27">
            <v>33730672.73</v>
          </cell>
        </row>
        <row r="28">
          <cell r="A28" t="str">
            <v>Choumohoni</v>
          </cell>
          <cell r="B28">
            <v>838734.28</v>
          </cell>
          <cell r="C28">
            <v>5374122.12</v>
          </cell>
          <cell r="D28">
            <v>4572076.96</v>
          </cell>
        </row>
        <row r="28">
          <cell r="H28">
            <v>10784933.36</v>
          </cell>
        </row>
        <row r="29">
          <cell r="A29" t="str">
            <v>Chuadanga</v>
          </cell>
          <cell r="B29">
            <v>635150.73</v>
          </cell>
          <cell r="C29">
            <v>202404.47</v>
          </cell>
          <cell r="D29">
            <v>3625162.51</v>
          </cell>
        </row>
        <row r="29">
          <cell r="H29">
            <v>4462717.71</v>
          </cell>
        </row>
        <row r="30">
          <cell r="A30" t="str">
            <v>Comilla East</v>
          </cell>
          <cell r="B30">
            <v>1650043.7</v>
          </cell>
          <cell r="C30">
            <v>5587591.88</v>
          </cell>
          <cell r="D30">
            <v>464361.13</v>
          </cell>
        </row>
        <row r="30">
          <cell r="H30">
            <v>7701996.71</v>
          </cell>
        </row>
        <row r="31">
          <cell r="A31" t="str">
            <v>Comilla West</v>
          </cell>
          <cell r="B31">
            <v>1234251.98</v>
          </cell>
          <cell r="C31">
            <v>2936979.37</v>
          </cell>
          <cell r="D31">
            <v>2665562.09</v>
          </cell>
        </row>
        <row r="31">
          <cell r="H31">
            <v>6836793.44</v>
          </cell>
        </row>
        <row r="32">
          <cell r="A32" t="str">
            <v>Companygonj</v>
          </cell>
          <cell r="B32">
            <v>291377.32</v>
          </cell>
          <cell r="C32">
            <v>1969667.23</v>
          </cell>
        </row>
        <row r="32">
          <cell r="H32">
            <v>2261044.55</v>
          </cell>
        </row>
        <row r="33">
          <cell r="A33" t="str">
            <v>Daulatpur</v>
          </cell>
        </row>
        <row r="33">
          <cell r="C33">
            <v>4025573.14</v>
          </cell>
          <cell r="D33">
            <v>2132271.82</v>
          </cell>
        </row>
        <row r="33">
          <cell r="H33">
            <v>6157844.96</v>
          </cell>
        </row>
        <row r="34">
          <cell r="A34" t="str">
            <v>DEPZ</v>
          </cell>
        </row>
        <row r="34">
          <cell r="C34">
            <v>1170507.81</v>
          </cell>
          <cell r="D34">
            <v>6059000.39</v>
          </cell>
        </row>
        <row r="34">
          <cell r="H34">
            <v>7229508.2</v>
          </cell>
        </row>
        <row r="35">
          <cell r="A35" t="str">
            <v>Dhamrai</v>
          </cell>
          <cell r="B35">
            <v>17464.89</v>
          </cell>
          <cell r="C35">
            <v>4890350.29</v>
          </cell>
          <cell r="D35">
            <v>2484717.57</v>
          </cell>
        </row>
        <row r="35">
          <cell r="H35">
            <v>7392532.75</v>
          </cell>
        </row>
        <row r="36">
          <cell r="A36" t="str">
            <v>Dinajpur</v>
          </cell>
          <cell r="B36">
            <v>55350.73</v>
          </cell>
          <cell r="C36">
            <v>2220682.32</v>
          </cell>
          <cell r="D36">
            <v>3591360.84</v>
          </cell>
          <cell r="E36">
            <v>2877802.72</v>
          </cell>
        </row>
        <row r="36">
          <cell r="H36">
            <v>8745196.61</v>
          </cell>
        </row>
        <row r="37">
          <cell r="A37" t="str">
            <v>Elephant Road</v>
          </cell>
          <cell r="B37">
            <v>666108.08</v>
          </cell>
          <cell r="C37">
            <v>6488535.3</v>
          </cell>
          <cell r="D37">
            <v>1378667.04</v>
          </cell>
          <cell r="E37">
            <v>4425284.25</v>
          </cell>
        </row>
        <row r="37">
          <cell r="H37">
            <v>12958594.67</v>
          </cell>
        </row>
        <row r="38">
          <cell r="A38" t="str">
            <v>Faridpur</v>
          </cell>
          <cell r="B38">
            <v>756146.93</v>
          </cell>
          <cell r="C38">
            <v>4615496.31</v>
          </cell>
          <cell r="D38">
            <v>2554892.96</v>
          </cell>
        </row>
        <row r="38">
          <cell r="H38">
            <v>7926536.2</v>
          </cell>
        </row>
        <row r="39">
          <cell r="A39" t="str">
            <v>Fatullah</v>
          </cell>
        </row>
        <row r="39">
          <cell r="C39">
            <v>1118756.31</v>
          </cell>
        </row>
        <row r="39">
          <cell r="H39">
            <v>1118756.31</v>
          </cell>
        </row>
        <row r="40">
          <cell r="A40" t="str">
            <v>Feni</v>
          </cell>
          <cell r="B40">
            <v>242467.28</v>
          </cell>
          <cell r="C40">
            <v>860769.8</v>
          </cell>
          <cell r="D40">
            <v>1979661.82</v>
          </cell>
        </row>
        <row r="40">
          <cell r="H40">
            <v>3082898.9</v>
          </cell>
        </row>
        <row r="41">
          <cell r="A41" t="str">
            <v>Fulbari</v>
          </cell>
          <cell r="B41">
            <v>330695.31</v>
          </cell>
        </row>
        <row r="41">
          <cell r="H41">
            <v>330695.31</v>
          </cell>
        </row>
        <row r="42">
          <cell r="A42" t="str">
            <v>Gaibandha</v>
          </cell>
          <cell r="B42">
            <v>297271.96</v>
          </cell>
          <cell r="C42">
            <v>1548276.2</v>
          </cell>
        </row>
        <row r="42">
          <cell r="H42">
            <v>1845548.16</v>
          </cell>
        </row>
        <row r="43">
          <cell r="A43" t="str">
            <v>Gazipur</v>
          </cell>
          <cell r="B43">
            <v>81351.24</v>
          </cell>
          <cell r="C43">
            <v>4906186.61</v>
          </cell>
          <cell r="D43">
            <v>2424762.79</v>
          </cell>
        </row>
        <row r="43">
          <cell r="H43">
            <v>7412300.64</v>
          </cell>
        </row>
        <row r="44">
          <cell r="A44" t="str">
            <v>Ghatail</v>
          </cell>
        </row>
        <row r="44">
          <cell r="C44">
            <v>559373.11</v>
          </cell>
        </row>
        <row r="44">
          <cell r="H44">
            <v>559373.11</v>
          </cell>
        </row>
        <row r="45">
          <cell r="A45" t="str">
            <v>Gopalgonj</v>
          </cell>
          <cell r="B45">
            <v>1811063.09</v>
          </cell>
          <cell r="C45">
            <v>4029395.22</v>
          </cell>
          <cell r="D45">
            <v>4410971.46</v>
          </cell>
        </row>
        <row r="45">
          <cell r="G45">
            <v>34913995.83</v>
          </cell>
          <cell r="H45">
            <v>45165425.6</v>
          </cell>
        </row>
        <row r="46">
          <cell r="A46" t="str">
            <v>Gulistan</v>
          </cell>
        </row>
        <row r="46">
          <cell r="C46">
            <v>576065.07</v>
          </cell>
          <cell r="D46">
            <v>111567.57</v>
          </cell>
          <cell r="E46">
            <v>2452452.21</v>
          </cell>
        </row>
        <row r="46">
          <cell r="H46">
            <v>3140084.85</v>
          </cell>
        </row>
        <row r="47">
          <cell r="A47" t="str">
            <v>Halishahar</v>
          </cell>
        </row>
        <row r="47">
          <cell r="C47">
            <v>780363.95</v>
          </cell>
          <cell r="D47">
            <v>1557103.45</v>
          </cell>
        </row>
        <row r="47">
          <cell r="H47">
            <v>2337467.4</v>
          </cell>
        </row>
        <row r="48">
          <cell r="A48" t="str">
            <v>Hasnabad</v>
          </cell>
          <cell r="B48">
            <v>1135557.88</v>
          </cell>
          <cell r="C48">
            <v>3148246.88</v>
          </cell>
          <cell r="D48">
            <v>4575210.68</v>
          </cell>
        </row>
        <row r="48">
          <cell r="F48">
            <v>2255552.57</v>
          </cell>
        </row>
        <row r="48">
          <cell r="H48">
            <v>11114568.01</v>
          </cell>
        </row>
        <row r="49">
          <cell r="A49" t="str">
            <v>Hathazari</v>
          </cell>
          <cell r="B49">
            <v>602659.85</v>
          </cell>
          <cell r="C49">
            <v>2565227.78</v>
          </cell>
          <cell r="D49">
            <v>6361907.29</v>
          </cell>
          <cell r="E49">
            <v>1468685.95</v>
          </cell>
        </row>
        <row r="49">
          <cell r="H49">
            <v>10998480.87</v>
          </cell>
        </row>
        <row r="50">
          <cell r="A50" t="str">
            <v>Hazigonj</v>
          </cell>
          <cell r="B50">
            <v>636235</v>
          </cell>
          <cell r="C50">
            <v>3783014.39</v>
          </cell>
          <cell r="D50">
            <v>4577559.22</v>
          </cell>
          <cell r="E50">
            <v>3845266.5</v>
          </cell>
        </row>
        <row r="50">
          <cell r="H50">
            <v>12842075.11</v>
          </cell>
        </row>
        <row r="51">
          <cell r="A51" t="str">
            <v>Hobigonj</v>
          </cell>
          <cell r="B51">
            <v>578012.55</v>
          </cell>
          <cell r="C51">
            <v>1326635.45</v>
          </cell>
        </row>
        <row r="51">
          <cell r="H51">
            <v>1904648</v>
          </cell>
        </row>
        <row r="52">
          <cell r="A52" t="str">
            <v>Imamgonj</v>
          </cell>
          <cell r="B52">
            <v>708510.67</v>
          </cell>
          <cell r="C52">
            <v>867981.76</v>
          </cell>
        </row>
        <row r="52">
          <cell r="H52">
            <v>1576492.43</v>
          </cell>
        </row>
        <row r="53">
          <cell r="A53" t="str">
            <v>Ishwardi</v>
          </cell>
          <cell r="B53">
            <v>534087.68</v>
          </cell>
          <cell r="C53">
            <v>5531431.23</v>
          </cell>
          <cell r="D53">
            <v>4492915.09</v>
          </cell>
        </row>
        <row r="53">
          <cell r="G53">
            <v>12789704.92</v>
          </cell>
          <cell r="H53">
            <v>23348138.92</v>
          </cell>
        </row>
        <row r="54">
          <cell r="A54" t="str">
            <v>Islambagh</v>
          </cell>
        </row>
        <row r="54">
          <cell r="C54">
            <v>2281102.21</v>
          </cell>
          <cell r="D54">
            <v>549628.7</v>
          </cell>
        </row>
        <row r="54">
          <cell r="H54">
            <v>2830730.91</v>
          </cell>
        </row>
        <row r="55">
          <cell r="A55" t="str">
            <v>Islampur Road</v>
          </cell>
        </row>
        <row r="55">
          <cell r="C55">
            <v>3141425.64</v>
          </cell>
          <cell r="D55">
            <v>10104294.21</v>
          </cell>
          <cell r="E55">
            <v>1983999.97</v>
          </cell>
        </row>
        <row r="55">
          <cell r="H55">
            <v>15229719.82</v>
          </cell>
        </row>
        <row r="56">
          <cell r="A56" t="str">
            <v>Jatrabari</v>
          </cell>
          <cell r="B56">
            <v>1518608.82</v>
          </cell>
          <cell r="C56">
            <v>4984428.1</v>
          </cell>
          <cell r="D56">
            <v>2307707.96</v>
          </cell>
        </row>
        <row r="56">
          <cell r="H56">
            <v>8810744.88</v>
          </cell>
        </row>
        <row r="57">
          <cell r="A57" t="str">
            <v>Jessore</v>
          </cell>
          <cell r="B57">
            <v>467044.58</v>
          </cell>
          <cell r="C57">
            <v>4901324.15</v>
          </cell>
          <cell r="D57">
            <v>5374679.79</v>
          </cell>
        </row>
        <row r="57">
          <cell r="H57">
            <v>10743048.52</v>
          </cell>
        </row>
        <row r="58">
          <cell r="A58" t="str">
            <v>Jhenaidah</v>
          </cell>
          <cell r="B58">
            <v>473106.7</v>
          </cell>
          <cell r="C58">
            <v>1947525.24</v>
          </cell>
        </row>
        <row r="58">
          <cell r="H58">
            <v>2420631.94</v>
          </cell>
        </row>
        <row r="59">
          <cell r="A59" t="str">
            <v>Jikorgacha</v>
          </cell>
          <cell r="B59">
            <v>377944.37</v>
          </cell>
          <cell r="C59">
            <v>2742085.24</v>
          </cell>
          <cell r="D59">
            <v>1636047.29</v>
          </cell>
        </row>
        <row r="59">
          <cell r="H59">
            <v>4756076.9</v>
          </cell>
        </row>
        <row r="60">
          <cell r="A60" t="str">
            <v>Joydebpur</v>
          </cell>
        </row>
        <row r="60">
          <cell r="C60">
            <v>3181590.67</v>
          </cell>
          <cell r="D60">
            <v>4820575.1</v>
          </cell>
        </row>
        <row r="60">
          <cell r="H60">
            <v>8002165.77</v>
          </cell>
        </row>
        <row r="61">
          <cell r="A61" t="str">
            <v>Joypurhat</v>
          </cell>
          <cell r="B61">
            <v>97109.37</v>
          </cell>
          <cell r="C61">
            <v>1784363.09</v>
          </cell>
          <cell r="D61">
            <v>3772943.75</v>
          </cell>
        </row>
        <row r="61">
          <cell r="G61">
            <v>16237808.51</v>
          </cell>
          <cell r="H61">
            <v>21892224.72</v>
          </cell>
        </row>
        <row r="62">
          <cell r="A62" t="str">
            <v>Kadamtali</v>
          </cell>
          <cell r="B62">
            <v>740981.15</v>
          </cell>
          <cell r="C62">
            <v>10865174.88</v>
          </cell>
          <cell r="D62">
            <v>7715531.6</v>
          </cell>
        </row>
        <row r="62">
          <cell r="H62">
            <v>19321687.63</v>
          </cell>
        </row>
        <row r="63">
          <cell r="A63" t="str">
            <v>Kalurghat</v>
          </cell>
          <cell r="B63">
            <v>567247.36</v>
          </cell>
          <cell r="C63">
            <v>3063601.06</v>
          </cell>
          <cell r="D63">
            <v>5420666.51</v>
          </cell>
        </row>
        <row r="63">
          <cell r="H63">
            <v>9051514.93</v>
          </cell>
        </row>
        <row r="64">
          <cell r="A64" t="str">
            <v>Kamrangirchar</v>
          </cell>
          <cell r="B64">
            <v>636331.24</v>
          </cell>
          <cell r="C64">
            <v>3028870.89</v>
          </cell>
        </row>
        <row r="64">
          <cell r="H64">
            <v>3665202.13</v>
          </cell>
        </row>
        <row r="65">
          <cell r="A65" t="str">
            <v>Kazipara</v>
          </cell>
          <cell r="B65">
            <v>582812.72</v>
          </cell>
          <cell r="C65">
            <v>816629.67</v>
          </cell>
        </row>
        <row r="65">
          <cell r="H65">
            <v>1399442.39</v>
          </cell>
        </row>
        <row r="66">
          <cell r="A66" t="str">
            <v>Keranigonj</v>
          </cell>
          <cell r="B66">
            <v>526220.73</v>
          </cell>
          <cell r="C66">
            <v>2913275.89</v>
          </cell>
          <cell r="D66">
            <v>2423916.93</v>
          </cell>
        </row>
        <row r="66">
          <cell r="H66">
            <v>5863413.55</v>
          </cell>
        </row>
        <row r="67">
          <cell r="A67" t="str">
            <v>Keshobpur</v>
          </cell>
          <cell r="B67">
            <v>807593.27</v>
          </cell>
          <cell r="C67">
            <v>2682605.13</v>
          </cell>
          <cell r="D67">
            <v>2911013.33</v>
          </cell>
        </row>
        <row r="67">
          <cell r="H67">
            <v>6401211.73</v>
          </cell>
        </row>
        <row r="68">
          <cell r="A68" t="str">
            <v>Khatungonj</v>
          </cell>
          <cell r="B68">
            <v>187158.41</v>
          </cell>
          <cell r="C68">
            <v>4163021.49</v>
          </cell>
          <cell r="D68">
            <v>3500909.98</v>
          </cell>
        </row>
        <row r="68">
          <cell r="H68">
            <v>7851089.88</v>
          </cell>
        </row>
        <row r="69">
          <cell r="A69" t="str">
            <v>Khulna</v>
          </cell>
          <cell r="B69">
            <v>1926634.88</v>
          </cell>
          <cell r="C69">
            <v>1018206.48</v>
          </cell>
          <cell r="D69">
            <v>5274876.42</v>
          </cell>
        </row>
        <row r="69">
          <cell r="H69">
            <v>8219717.78</v>
          </cell>
        </row>
        <row r="70">
          <cell r="A70" t="str">
            <v>Konabari</v>
          </cell>
          <cell r="B70">
            <v>1289470.67</v>
          </cell>
          <cell r="C70">
            <v>2314783.37</v>
          </cell>
        </row>
        <row r="70">
          <cell r="H70">
            <v>3604254.04</v>
          </cell>
        </row>
        <row r="71">
          <cell r="A71" t="str">
            <v>Kosba</v>
          </cell>
          <cell r="B71">
            <v>391717.18</v>
          </cell>
          <cell r="C71">
            <v>825452.74</v>
          </cell>
        </row>
        <row r="71">
          <cell r="H71">
            <v>1217169.92</v>
          </cell>
        </row>
        <row r="72">
          <cell r="A72" t="str">
            <v>Kotiadi</v>
          </cell>
          <cell r="B72">
            <v>905088.51</v>
          </cell>
          <cell r="C72">
            <v>1618079.94</v>
          </cell>
        </row>
        <row r="72">
          <cell r="H72">
            <v>2523168.45</v>
          </cell>
        </row>
        <row r="73">
          <cell r="A73" t="str">
            <v>Kurigram</v>
          </cell>
          <cell r="B73">
            <v>2868560.7</v>
          </cell>
          <cell r="C73">
            <v>1816930.13</v>
          </cell>
        </row>
        <row r="73">
          <cell r="F73">
            <v>253168.1</v>
          </cell>
        </row>
        <row r="73">
          <cell r="H73">
            <v>4938658.93</v>
          </cell>
        </row>
        <row r="74">
          <cell r="A74" t="str">
            <v>Kushtia</v>
          </cell>
          <cell r="B74">
            <v>3339052.98</v>
          </cell>
          <cell r="C74">
            <v>5742304.82</v>
          </cell>
          <cell r="D74">
            <v>3857973.18</v>
          </cell>
        </row>
        <row r="74">
          <cell r="H74">
            <v>12939330.98</v>
          </cell>
        </row>
        <row r="75">
          <cell r="A75" t="str">
            <v>Laksham</v>
          </cell>
          <cell r="B75">
            <v>982489.28</v>
          </cell>
          <cell r="C75">
            <v>4280044.75</v>
          </cell>
          <cell r="D75">
            <v>2315436.2</v>
          </cell>
        </row>
        <row r="75">
          <cell r="H75">
            <v>7577970.23</v>
          </cell>
        </row>
        <row r="76">
          <cell r="A76" t="str">
            <v>Laxmipur</v>
          </cell>
          <cell r="B76">
            <v>670590.65</v>
          </cell>
          <cell r="C76">
            <v>3280165.33</v>
          </cell>
          <cell r="D76">
            <v>304801.84</v>
          </cell>
        </row>
        <row r="76">
          <cell r="H76">
            <v>4255557.82</v>
          </cell>
        </row>
        <row r="77">
          <cell r="A77" t="str">
            <v>Lohagora, CTG</v>
          </cell>
          <cell r="B77">
            <v>792583.16</v>
          </cell>
          <cell r="C77">
            <v>1477526.49</v>
          </cell>
        </row>
        <row r="77">
          <cell r="H77">
            <v>2270109.65</v>
          </cell>
        </row>
        <row r="78">
          <cell r="A78" t="str">
            <v>Madhabpur</v>
          </cell>
          <cell r="B78">
            <v>1097197.78</v>
          </cell>
          <cell r="C78">
            <v>45133.34</v>
          </cell>
        </row>
        <row r="78">
          <cell r="H78">
            <v>1142331.12</v>
          </cell>
        </row>
        <row r="79">
          <cell r="A79" t="str">
            <v>Magura</v>
          </cell>
          <cell r="B79">
            <v>1195341.21</v>
          </cell>
          <cell r="C79">
            <v>1520726.14</v>
          </cell>
          <cell r="D79">
            <v>25469.37</v>
          </cell>
        </row>
        <row r="79">
          <cell r="H79">
            <v>2741536.72</v>
          </cell>
        </row>
        <row r="80">
          <cell r="A80" t="str">
            <v>Maijdee</v>
          </cell>
          <cell r="B80">
            <v>1460591.24</v>
          </cell>
          <cell r="C80">
            <v>4482523.93</v>
          </cell>
          <cell r="D80">
            <v>3400291.28</v>
          </cell>
        </row>
        <row r="80">
          <cell r="H80">
            <v>9343406.45</v>
          </cell>
        </row>
        <row r="81">
          <cell r="A81" t="str">
            <v>Manikgonj</v>
          </cell>
        </row>
        <row r="81">
          <cell r="C81">
            <v>1626429.97</v>
          </cell>
        </row>
        <row r="81">
          <cell r="H81">
            <v>1626429.97</v>
          </cell>
        </row>
        <row r="82">
          <cell r="A82" t="str">
            <v>Mirpur</v>
          </cell>
          <cell r="B82">
            <v>5865.85</v>
          </cell>
          <cell r="C82">
            <v>8102298.85</v>
          </cell>
          <cell r="D82">
            <v>3711734.66</v>
          </cell>
        </row>
        <row r="82">
          <cell r="H82">
            <v>11819899.36</v>
          </cell>
        </row>
        <row r="83">
          <cell r="A83" t="str">
            <v>Moghbazar</v>
          </cell>
          <cell r="B83">
            <v>215494.88</v>
          </cell>
          <cell r="C83">
            <v>644678.33</v>
          </cell>
          <cell r="D83">
            <v>1019880.18</v>
          </cell>
        </row>
        <row r="83">
          <cell r="H83">
            <v>1880053.39</v>
          </cell>
        </row>
        <row r="84">
          <cell r="A84" t="str">
            <v>Mohammadpur</v>
          </cell>
          <cell r="B84">
            <v>607838.87</v>
          </cell>
          <cell r="C84">
            <v>1777642.73</v>
          </cell>
          <cell r="D84">
            <v>5022099.18</v>
          </cell>
        </row>
        <row r="84">
          <cell r="H84">
            <v>7407580.78</v>
          </cell>
        </row>
        <row r="85">
          <cell r="A85" t="str">
            <v>Mymensingh</v>
          </cell>
          <cell r="B85">
            <v>1053598.61</v>
          </cell>
          <cell r="C85">
            <v>5695289.45</v>
          </cell>
          <cell r="D85">
            <v>1637610.93</v>
          </cell>
        </row>
        <row r="85">
          <cell r="H85">
            <v>8386498.99</v>
          </cell>
        </row>
        <row r="86">
          <cell r="A86" t="str">
            <v>Nangolkot</v>
          </cell>
          <cell r="B86">
            <v>25690.45</v>
          </cell>
          <cell r="C86">
            <v>1315710.88</v>
          </cell>
        </row>
        <row r="86">
          <cell r="H86">
            <v>1341401.33</v>
          </cell>
        </row>
        <row r="87">
          <cell r="A87" t="str">
            <v>Naogaon</v>
          </cell>
          <cell r="B87">
            <v>361248.94</v>
          </cell>
          <cell r="C87">
            <v>1472178.55</v>
          </cell>
        </row>
        <row r="87">
          <cell r="H87">
            <v>1833427.49</v>
          </cell>
        </row>
        <row r="88">
          <cell r="A88" t="str">
            <v>Narail</v>
          </cell>
          <cell r="B88">
            <v>529497.76</v>
          </cell>
          <cell r="C88">
            <v>84369.39</v>
          </cell>
        </row>
        <row r="88">
          <cell r="H88">
            <v>613867.15</v>
          </cell>
        </row>
        <row r="89">
          <cell r="A89" t="str">
            <v>Narayangonj</v>
          </cell>
        </row>
        <row r="89">
          <cell r="C89">
            <v>1114230.61</v>
          </cell>
          <cell r="D89">
            <v>487145.3</v>
          </cell>
        </row>
        <row r="89">
          <cell r="H89">
            <v>1601375.91</v>
          </cell>
        </row>
        <row r="90">
          <cell r="A90" t="str">
            <v>Narsingdi</v>
          </cell>
          <cell r="B90">
            <v>399461.52</v>
          </cell>
          <cell r="C90">
            <v>1183562.05</v>
          </cell>
          <cell r="D90">
            <v>3991022.01</v>
          </cell>
        </row>
        <row r="90">
          <cell r="H90">
            <v>5574045.58</v>
          </cell>
        </row>
        <row r="91">
          <cell r="A91" t="str">
            <v>Nawabgonj</v>
          </cell>
          <cell r="B91">
            <v>116000.81</v>
          </cell>
          <cell r="C91">
            <v>2705697.53</v>
          </cell>
        </row>
        <row r="91">
          <cell r="H91">
            <v>2821698.34</v>
          </cell>
        </row>
        <row r="92">
          <cell r="A92" t="str">
            <v>Nawabpur</v>
          </cell>
          <cell r="B92">
            <v>963554.78</v>
          </cell>
          <cell r="C92">
            <v>362300.23</v>
          </cell>
          <cell r="D92">
            <v>2601644.6</v>
          </cell>
        </row>
        <row r="92">
          <cell r="H92">
            <v>3927499.61</v>
          </cell>
        </row>
        <row r="93">
          <cell r="A93" t="str">
            <v>Nondon Kanon</v>
          </cell>
        </row>
        <row r="93">
          <cell r="C93">
            <v>4968237.17</v>
          </cell>
        </row>
        <row r="93">
          <cell r="H93">
            <v>4968237.17</v>
          </cell>
        </row>
        <row r="94">
          <cell r="A94" t="str">
            <v>Pabna</v>
          </cell>
        </row>
        <row r="94">
          <cell r="C94">
            <v>893970.85</v>
          </cell>
        </row>
        <row r="94">
          <cell r="H94">
            <v>893970.85</v>
          </cell>
        </row>
        <row r="95">
          <cell r="A95" t="str">
            <v>Pahartali</v>
          </cell>
        </row>
        <row r="95">
          <cell r="C95">
            <v>224644.22</v>
          </cell>
          <cell r="D95">
            <v>9040324.3</v>
          </cell>
          <cell r="E95">
            <v>15257581.1</v>
          </cell>
        </row>
        <row r="95">
          <cell r="H95">
            <v>24522549.62</v>
          </cell>
        </row>
        <row r="96">
          <cell r="A96" t="str">
            <v>Panchaghar</v>
          </cell>
          <cell r="B96">
            <v>23200.91</v>
          </cell>
          <cell r="C96">
            <v>2645727.88</v>
          </cell>
          <cell r="D96">
            <v>885008.01</v>
          </cell>
        </row>
        <row r="96">
          <cell r="H96">
            <v>3553936.8</v>
          </cell>
        </row>
        <row r="97">
          <cell r="A97" t="str">
            <v>Patuakhali</v>
          </cell>
          <cell r="B97">
            <v>2315643.57</v>
          </cell>
          <cell r="C97">
            <v>6612965.84</v>
          </cell>
          <cell r="D97">
            <v>4388410.85</v>
          </cell>
        </row>
        <row r="97">
          <cell r="H97">
            <v>13317020.26</v>
          </cell>
        </row>
        <row r="98">
          <cell r="A98" t="str">
            <v>Potiya</v>
          </cell>
          <cell r="B98">
            <v>872580.33</v>
          </cell>
          <cell r="C98">
            <v>2086010.44</v>
          </cell>
          <cell r="D98">
            <v>8403060.92</v>
          </cell>
        </row>
        <row r="98">
          <cell r="H98">
            <v>11361651.69</v>
          </cell>
        </row>
        <row r="99">
          <cell r="A99" t="str">
            <v>Rajbari</v>
          </cell>
          <cell r="B99">
            <v>1186661.27</v>
          </cell>
          <cell r="C99">
            <v>4236126.09</v>
          </cell>
          <cell r="D99">
            <v>1109347.71</v>
          </cell>
          <cell r="E99">
            <v>39162.51</v>
          </cell>
          <cell r="F99">
            <v>298313.23</v>
          </cell>
        </row>
        <row r="99">
          <cell r="H99">
            <v>6869610.81</v>
          </cell>
        </row>
        <row r="100">
          <cell r="A100" t="str">
            <v>Rajshahi</v>
          </cell>
          <cell r="B100">
            <v>1051278.65</v>
          </cell>
          <cell r="C100">
            <v>5785101.44</v>
          </cell>
          <cell r="D100">
            <v>1148258.08</v>
          </cell>
        </row>
        <row r="100">
          <cell r="H100">
            <v>7984638.17</v>
          </cell>
        </row>
        <row r="101">
          <cell r="A101" t="str">
            <v>Rangpur</v>
          </cell>
          <cell r="B101">
            <v>1184154.93</v>
          </cell>
          <cell r="C101">
            <v>1821202.23</v>
          </cell>
        </row>
        <row r="101">
          <cell r="H101">
            <v>3005357.16</v>
          </cell>
        </row>
        <row r="102">
          <cell r="A102" t="str">
            <v>Savar</v>
          </cell>
          <cell r="B102">
            <v>780759.63</v>
          </cell>
          <cell r="C102">
            <v>4923409.73</v>
          </cell>
          <cell r="D102">
            <v>3898221.2</v>
          </cell>
        </row>
        <row r="102">
          <cell r="H102">
            <v>9602390.56</v>
          </cell>
        </row>
        <row r="103">
          <cell r="A103" t="str">
            <v>Savar-2</v>
          </cell>
        </row>
        <row r="103">
          <cell r="C103">
            <v>1592467.72</v>
          </cell>
        </row>
        <row r="103">
          <cell r="E103">
            <v>5873472.22</v>
          </cell>
        </row>
        <row r="103">
          <cell r="H103">
            <v>7465939.94</v>
          </cell>
        </row>
        <row r="104">
          <cell r="A104" t="str">
            <v>Shaheshtagonj</v>
          </cell>
          <cell r="B104">
            <v>727149.93</v>
          </cell>
          <cell r="C104">
            <v>584729.88</v>
          </cell>
          <cell r="D104">
            <v>4791883.48</v>
          </cell>
        </row>
        <row r="104">
          <cell r="H104">
            <v>6103763.29</v>
          </cell>
        </row>
        <row r="105">
          <cell r="A105" t="str">
            <v>Shambazar</v>
          </cell>
          <cell r="B105">
            <v>726145.73</v>
          </cell>
          <cell r="C105">
            <v>1626642.52</v>
          </cell>
          <cell r="D105">
            <v>3617242.7</v>
          </cell>
        </row>
        <row r="105">
          <cell r="H105">
            <v>5970030.95</v>
          </cell>
        </row>
        <row r="106">
          <cell r="A106" t="str">
            <v>Shariatpur</v>
          </cell>
          <cell r="B106">
            <v>763029.81</v>
          </cell>
          <cell r="C106">
            <v>1226485.09</v>
          </cell>
        </row>
        <row r="106">
          <cell r="H106">
            <v>1989514.9</v>
          </cell>
        </row>
        <row r="107">
          <cell r="A107" t="str">
            <v>Shiddirgonj</v>
          </cell>
        </row>
        <row r="107">
          <cell r="C107">
            <v>946343.28</v>
          </cell>
        </row>
        <row r="107">
          <cell r="H107">
            <v>946343.28</v>
          </cell>
        </row>
        <row r="108">
          <cell r="A108" t="str">
            <v>Sirajgonj</v>
          </cell>
          <cell r="B108">
            <v>768348.29</v>
          </cell>
          <cell r="C108">
            <v>575982.26</v>
          </cell>
        </row>
        <row r="108">
          <cell r="H108">
            <v>1344330.55</v>
          </cell>
        </row>
        <row r="109">
          <cell r="A109" t="str">
            <v>Sonir Akhra</v>
          </cell>
          <cell r="B109">
            <v>75560.22</v>
          </cell>
          <cell r="C109">
            <v>1896899.44</v>
          </cell>
        </row>
        <row r="109">
          <cell r="H109">
            <v>1972459.66</v>
          </cell>
        </row>
        <row r="110">
          <cell r="A110" t="str">
            <v>South Surma</v>
          </cell>
          <cell r="B110">
            <v>68254.75</v>
          </cell>
          <cell r="C110">
            <v>3473737.7</v>
          </cell>
        </row>
        <row r="110">
          <cell r="H110">
            <v>3541992.45</v>
          </cell>
        </row>
        <row r="111">
          <cell r="A111" t="str">
            <v>Sreenagar</v>
          </cell>
        </row>
        <row r="111">
          <cell r="C111">
            <v>988943.03</v>
          </cell>
        </row>
        <row r="111">
          <cell r="H111">
            <v>988943.03</v>
          </cell>
        </row>
        <row r="112">
          <cell r="A112" t="str">
            <v>Sreepur</v>
          </cell>
        </row>
        <row r="112">
          <cell r="C112">
            <v>1929247.23</v>
          </cell>
        </row>
        <row r="112">
          <cell r="H112">
            <v>1929247.23</v>
          </cell>
        </row>
        <row r="113">
          <cell r="A113" t="str">
            <v>Swarupkathi</v>
          </cell>
          <cell r="B113">
            <v>2842668.09</v>
          </cell>
          <cell r="C113">
            <v>2721033.76</v>
          </cell>
        </row>
        <row r="113">
          <cell r="H113">
            <v>5563701.85</v>
          </cell>
        </row>
        <row r="114">
          <cell r="A114" t="str">
            <v>Syedpur</v>
          </cell>
          <cell r="B114">
            <v>716852.68</v>
          </cell>
        </row>
        <row r="114">
          <cell r="H114">
            <v>716852.68</v>
          </cell>
        </row>
        <row r="115">
          <cell r="A115" t="str">
            <v>Tangail</v>
          </cell>
          <cell r="B115">
            <v>1268144.02</v>
          </cell>
          <cell r="C115">
            <v>1580129.62</v>
          </cell>
          <cell r="D115">
            <v>1603934.95</v>
          </cell>
        </row>
        <row r="115">
          <cell r="H115">
            <v>4452208.59</v>
          </cell>
        </row>
        <row r="116">
          <cell r="A116" t="str">
            <v>Thakurgaon</v>
          </cell>
          <cell r="B116">
            <v>1098669.43</v>
          </cell>
          <cell r="C116">
            <v>2522595.39</v>
          </cell>
          <cell r="D116">
            <v>38455.34</v>
          </cell>
        </row>
        <row r="116">
          <cell r="F116">
            <v>577796.48</v>
          </cell>
        </row>
        <row r="116">
          <cell r="H116">
            <v>4237516.64</v>
          </cell>
        </row>
        <row r="117">
          <cell r="A117" t="str">
            <v>Tongi</v>
          </cell>
          <cell r="B117">
            <v>956825.25</v>
          </cell>
          <cell r="C117">
            <v>7172622.78</v>
          </cell>
          <cell r="D117">
            <v>5545213.77</v>
          </cell>
        </row>
        <row r="117">
          <cell r="H117">
            <v>13674661.8</v>
          </cell>
        </row>
        <row r="118">
          <cell r="A118" t="str">
            <v>Zinzira</v>
          </cell>
          <cell r="B118">
            <v>768978.71</v>
          </cell>
          <cell r="C118">
            <v>5170746.96</v>
          </cell>
        </row>
        <row r="118">
          <cell r="H118">
            <v>5939725.67</v>
          </cell>
        </row>
        <row r="119">
          <cell r="A119" t="str">
            <v>Grand Total</v>
          </cell>
          <cell r="B119">
            <v>81059881.49</v>
          </cell>
          <cell r="C119">
            <v>325137003.93</v>
          </cell>
          <cell r="D119">
            <v>250673085.28</v>
          </cell>
          <cell r="E119">
            <v>51657769.94</v>
          </cell>
          <cell r="F119">
            <v>23534261.4</v>
          </cell>
          <cell r="G119">
            <v>72001036.64</v>
          </cell>
          <cell r="H119">
            <v>804063038.68</v>
          </cell>
        </row>
      </sheetData>
      <sheetData sheetId="18">
        <row r="5">
          <cell r="A5" t="str">
            <v>Agailjhara</v>
          </cell>
          <cell r="B5">
            <v>2596286.99</v>
          </cell>
          <cell r="C5">
            <v>3951991.57</v>
          </cell>
          <cell r="D5">
            <v>2621280.81</v>
          </cell>
          <cell r="E5">
            <v>562009.43</v>
          </cell>
        </row>
        <row r="5">
          <cell r="H5">
            <v>9731568.8</v>
          </cell>
        </row>
        <row r="6">
          <cell r="A6" t="str">
            <v>Ambarkhana</v>
          </cell>
          <cell r="B6">
            <v>2116652.18</v>
          </cell>
          <cell r="C6">
            <v>779349.74</v>
          </cell>
        </row>
        <row r="6">
          <cell r="H6">
            <v>2896001.92</v>
          </cell>
        </row>
        <row r="7">
          <cell r="A7" t="str">
            <v>Anderkilla</v>
          </cell>
          <cell r="B7">
            <v>1026191.17</v>
          </cell>
          <cell r="C7">
            <v>20301295.25</v>
          </cell>
          <cell r="D7">
            <v>21271326.93</v>
          </cell>
        </row>
        <row r="7">
          <cell r="H7">
            <v>42598813.35</v>
          </cell>
        </row>
        <row r="8">
          <cell r="A8" t="str">
            <v>Ashulia</v>
          </cell>
          <cell r="B8">
            <v>945378.63</v>
          </cell>
          <cell r="C8">
            <v>2695449.76</v>
          </cell>
          <cell r="D8">
            <v>7898768.63</v>
          </cell>
        </row>
        <row r="8">
          <cell r="H8">
            <v>11539597.02</v>
          </cell>
        </row>
        <row r="9">
          <cell r="A9" t="str">
            <v>Badda</v>
          </cell>
          <cell r="B9">
            <v>747477.35</v>
          </cell>
          <cell r="C9">
            <v>4313222.6</v>
          </cell>
          <cell r="D9">
            <v>5508373.86</v>
          </cell>
        </row>
        <row r="9">
          <cell r="G9">
            <v>8059527.38</v>
          </cell>
          <cell r="H9">
            <v>18628601.19</v>
          </cell>
        </row>
        <row r="10">
          <cell r="A10" t="str">
            <v>Bagerhat</v>
          </cell>
          <cell r="B10">
            <v>2969105.26</v>
          </cell>
          <cell r="C10">
            <v>2854613.41</v>
          </cell>
        </row>
        <row r="10">
          <cell r="H10">
            <v>5823718.67</v>
          </cell>
        </row>
        <row r="11">
          <cell r="A11" t="str">
            <v>Baligaon</v>
          </cell>
          <cell r="B11">
            <v>201710.11</v>
          </cell>
          <cell r="C11">
            <v>1527593.41</v>
          </cell>
        </row>
        <row r="11">
          <cell r="H11">
            <v>1729303.52</v>
          </cell>
        </row>
        <row r="12">
          <cell r="A12" t="str">
            <v>Banasree</v>
          </cell>
          <cell r="B12">
            <v>475299.97</v>
          </cell>
          <cell r="C12">
            <v>7673010.96</v>
          </cell>
          <cell r="D12">
            <v>3843790.26</v>
          </cell>
          <cell r="E12">
            <v>5231850.17</v>
          </cell>
          <cell r="F12">
            <v>6878510.34</v>
          </cell>
        </row>
        <row r="12">
          <cell r="H12">
            <v>24102461.7</v>
          </cell>
        </row>
        <row r="13">
          <cell r="A13" t="str">
            <v>Bancharampur</v>
          </cell>
          <cell r="B13">
            <v>873487.9</v>
          </cell>
          <cell r="C13">
            <v>3935878.3</v>
          </cell>
        </row>
        <row r="13">
          <cell r="H13">
            <v>4809366.2</v>
          </cell>
        </row>
        <row r="14">
          <cell r="A14" t="str">
            <v>Bandartila </v>
          </cell>
          <cell r="B14">
            <v>1003731.66</v>
          </cell>
          <cell r="C14">
            <v>4772549.86</v>
          </cell>
          <cell r="D14">
            <v>4326710.99</v>
          </cell>
          <cell r="E14">
            <v>4962246.38</v>
          </cell>
          <cell r="F14">
            <v>6809828.29</v>
          </cell>
        </row>
        <row r="14">
          <cell r="H14">
            <v>21875067.18</v>
          </cell>
        </row>
        <row r="15">
          <cell r="A15" t="str">
            <v>Barguna</v>
          </cell>
          <cell r="B15">
            <v>3242202.55</v>
          </cell>
          <cell r="C15">
            <v>9275801.74</v>
          </cell>
          <cell r="D15">
            <v>1060743.3</v>
          </cell>
        </row>
        <row r="15">
          <cell r="F15">
            <v>6605436.94</v>
          </cell>
        </row>
        <row r="15">
          <cell r="H15">
            <v>20184184.53</v>
          </cell>
        </row>
        <row r="16">
          <cell r="A16" t="str">
            <v>Barishal</v>
          </cell>
          <cell r="B16">
            <v>1644440.34</v>
          </cell>
          <cell r="C16">
            <v>9482453.41</v>
          </cell>
          <cell r="D16">
            <v>7422669.29</v>
          </cell>
        </row>
        <row r="16">
          <cell r="H16">
            <v>18549563.04</v>
          </cell>
        </row>
        <row r="17">
          <cell r="A17" t="str">
            <v>Bhanga</v>
          </cell>
          <cell r="B17">
            <v>4049577.91</v>
          </cell>
          <cell r="C17">
            <v>7718620.12</v>
          </cell>
          <cell r="D17">
            <v>3421135.9</v>
          </cell>
        </row>
        <row r="17">
          <cell r="H17">
            <v>15189333.93</v>
          </cell>
        </row>
        <row r="18">
          <cell r="A18" t="str">
            <v>Bharaib</v>
          </cell>
          <cell r="B18">
            <v>851846.09</v>
          </cell>
          <cell r="C18">
            <v>5823496.41</v>
          </cell>
          <cell r="D18">
            <v>776107.92</v>
          </cell>
        </row>
        <row r="18">
          <cell r="H18">
            <v>7451450.42</v>
          </cell>
        </row>
        <row r="19">
          <cell r="A19" t="str">
            <v>Bheramara</v>
          </cell>
          <cell r="B19">
            <v>4393416.61</v>
          </cell>
          <cell r="C19">
            <v>5645322.01</v>
          </cell>
          <cell r="D19">
            <v>9340002.12</v>
          </cell>
        </row>
        <row r="19">
          <cell r="H19">
            <v>19378740.74</v>
          </cell>
        </row>
        <row r="20">
          <cell r="A20" t="str">
            <v>Bhola</v>
          </cell>
          <cell r="B20">
            <v>2085882.23</v>
          </cell>
          <cell r="C20">
            <v>2358060.61</v>
          </cell>
          <cell r="D20">
            <v>2500727.65</v>
          </cell>
        </row>
        <row r="20">
          <cell r="H20">
            <v>6944670.49</v>
          </cell>
        </row>
        <row r="21">
          <cell r="A21" t="str">
            <v>Bhulta</v>
          </cell>
          <cell r="B21">
            <v>316280.17</v>
          </cell>
          <cell r="C21">
            <v>1764839.69</v>
          </cell>
          <cell r="D21">
            <v>2865312.03</v>
          </cell>
        </row>
        <row r="21">
          <cell r="H21">
            <v>4946431.89</v>
          </cell>
        </row>
        <row r="22">
          <cell r="A22" t="str">
            <v>Bogura</v>
          </cell>
          <cell r="B22">
            <v>1428685.58</v>
          </cell>
          <cell r="C22">
            <v>10495481.84</v>
          </cell>
          <cell r="D22">
            <v>7961205.12</v>
          </cell>
        </row>
        <row r="22">
          <cell r="H22">
            <v>19885372.54</v>
          </cell>
        </row>
        <row r="23">
          <cell r="A23" t="str">
            <v>Brahmanbaria</v>
          </cell>
          <cell r="B23">
            <v>1227439.01</v>
          </cell>
          <cell r="C23">
            <v>6468986.34</v>
          </cell>
          <cell r="D23">
            <v>5416246.19</v>
          </cell>
        </row>
        <row r="23">
          <cell r="H23">
            <v>13112671.54</v>
          </cell>
        </row>
        <row r="24">
          <cell r="A24" t="str">
            <v>C. Nawabganj</v>
          </cell>
          <cell r="B24">
            <v>332835.03</v>
          </cell>
          <cell r="C24">
            <v>1453689.17</v>
          </cell>
          <cell r="D24">
            <v>3373516.19</v>
          </cell>
        </row>
        <row r="24">
          <cell r="H24">
            <v>5160040.39</v>
          </cell>
        </row>
        <row r="25">
          <cell r="A25" t="str">
            <v>Chandina</v>
          </cell>
          <cell r="B25">
            <v>4459122.59</v>
          </cell>
          <cell r="C25">
            <v>3517056.92</v>
          </cell>
          <cell r="D25">
            <v>919091.3</v>
          </cell>
        </row>
        <row r="25">
          <cell r="H25">
            <v>8895270.81</v>
          </cell>
        </row>
        <row r="26">
          <cell r="A26" t="str">
            <v>Chauddagram</v>
          </cell>
          <cell r="B26">
            <v>3886181.54</v>
          </cell>
          <cell r="C26">
            <v>3190843.52</v>
          </cell>
          <cell r="D26">
            <v>1000137.49</v>
          </cell>
        </row>
        <row r="26">
          <cell r="F26">
            <v>4119121.05</v>
          </cell>
        </row>
        <row r="26">
          <cell r="H26">
            <v>12196283.6</v>
          </cell>
        </row>
        <row r="27">
          <cell r="A27" t="str">
            <v>Chawk Bazar</v>
          </cell>
          <cell r="B27">
            <v>852086.38</v>
          </cell>
          <cell r="C27">
            <v>11130359.4</v>
          </cell>
          <cell r="D27">
            <v>10496418.59</v>
          </cell>
          <cell r="E27">
            <v>3783147.89</v>
          </cell>
          <cell r="F27">
            <v>9220481.68</v>
          </cell>
          <cell r="G27">
            <v>5179254.54</v>
          </cell>
          <cell r="H27">
            <v>40661748.48</v>
          </cell>
        </row>
        <row r="28">
          <cell r="A28" t="str">
            <v>Choumohoni</v>
          </cell>
          <cell r="B28">
            <v>2257924.89</v>
          </cell>
          <cell r="C28">
            <v>8720917.42</v>
          </cell>
          <cell r="D28">
            <v>8940022.28</v>
          </cell>
        </row>
        <row r="28">
          <cell r="H28">
            <v>19918864.59</v>
          </cell>
        </row>
        <row r="29">
          <cell r="A29" t="str">
            <v>Chuadanga</v>
          </cell>
          <cell r="B29">
            <v>941649.35</v>
          </cell>
          <cell r="C29">
            <v>2049102.51</v>
          </cell>
          <cell r="D29">
            <v>6921033.52</v>
          </cell>
        </row>
        <row r="29">
          <cell r="F29">
            <v>295662.57</v>
          </cell>
        </row>
        <row r="29">
          <cell r="H29">
            <v>10207447.95</v>
          </cell>
        </row>
        <row r="30">
          <cell r="A30" t="str">
            <v>Comilla East</v>
          </cell>
          <cell r="B30">
            <v>1933011.38</v>
          </cell>
          <cell r="C30">
            <v>7735311.71</v>
          </cell>
          <cell r="D30">
            <v>464361.13</v>
          </cell>
        </row>
        <row r="30">
          <cell r="H30">
            <v>10132684.22</v>
          </cell>
        </row>
        <row r="31">
          <cell r="A31" t="str">
            <v>Comilla West</v>
          </cell>
          <cell r="B31">
            <v>2246622.91</v>
          </cell>
          <cell r="C31">
            <v>6654780.7</v>
          </cell>
          <cell r="D31">
            <v>3853106.82</v>
          </cell>
          <cell r="E31">
            <v>183338.69</v>
          </cell>
        </row>
        <row r="31">
          <cell r="G31">
            <v>4807334.21</v>
          </cell>
          <cell r="H31">
            <v>17745183.33</v>
          </cell>
        </row>
        <row r="32">
          <cell r="A32" t="str">
            <v>Companygonj</v>
          </cell>
          <cell r="B32">
            <v>291377.32</v>
          </cell>
          <cell r="C32">
            <v>3491178.57</v>
          </cell>
        </row>
        <row r="32">
          <cell r="H32">
            <v>3782555.89</v>
          </cell>
        </row>
        <row r="33">
          <cell r="A33" t="str">
            <v>Cox's Bazar</v>
          </cell>
        </row>
        <row r="33">
          <cell r="C33">
            <v>1186933.18</v>
          </cell>
          <cell r="D33">
            <v>2980998.44</v>
          </cell>
        </row>
        <row r="33">
          <cell r="H33">
            <v>4167931.62</v>
          </cell>
        </row>
        <row r="34">
          <cell r="A34" t="str">
            <v>Daulatpur</v>
          </cell>
        </row>
        <row r="34">
          <cell r="C34">
            <v>5958938.65</v>
          </cell>
          <cell r="D34">
            <v>6141023.73</v>
          </cell>
          <cell r="E34">
            <v>2305170.67</v>
          </cell>
        </row>
        <row r="34">
          <cell r="H34">
            <v>14405133.05</v>
          </cell>
        </row>
        <row r="35">
          <cell r="A35" t="str">
            <v>DEPZ</v>
          </cell>
          <cell r="B35">
            <v>961754.99</v>
          </cell>
          <cell r="C35">
            <v>2066381.45</v>
          </cell>
          <cell r="D35">
            <v>9272663.9</v>
          </cell>
        </row>
        <row r="35">
          <cell r="F35">
            <v>1646316.81</v>
          </cell>
        </row>
        <row r="35">
          <cell r="H35">
            <v>13947117.15</v>
          </cell>
        </row>
        <row r="36">
          <cell r="A36" t="str">
            <v>Dhamrai</v>
          </cell>
          <cell r="B36">
            <v>17464.89</v>
          </cell>
          <cell r="C36">
            <v>10247784.85</v>
          </cell>
          <cell r="D36">
            <v>7158473.53</v>
          </cell>
        </row>
        <row r="36">
          <cell r="H36">
            <v>17423723.27</v>
          </cell>
        </row>
        <row r="37">
          <cell r="A37" t="str">
            <v>Dinajpur</v>
          </cell>
          <cell r="B37">
            <v>542487.55</v>
          </cell>
          <cell r="C37">
            <v>2220682.32</v>
          </cell>
          <cell r="D37">
            <v>3591360.84</v>
          </cell>
          <cell r="E37">
            <v>2877802.72</v>
          </cell>
        </row>
        <row r="37">
          <cell r="H37">
            <v>9232333.43</v>
          </cell>
        </row>
        <row r="38">
          <cell r="A38" t="str">
            <v>Elephant Road</v>
          </cell>
          <cell r="B38">
            <v>1168683.7</v>
          </cell>
          <cell r="C38">
            <v>6488535.3</v>
          </cell>
          <cell r="D38">
            <v>8926233.08</v>
          </cell>
          <cell r="E38">
            <v>4425284.25</v>
          </cell>
        </row>
        <row r="38">
          <cell r="H38">
            <v>21008736.33</v>
          </cell>
        </row>
        <row r="39">
          <cell r="A39" t="str">
            <v>Faridpur</v>
          </cell>
          <cell r="B39">
            <v>828861.38</v>
          </cell>
          <cell r="C39">
            <v>9213041.15</v>
          </cell>
          <cell r="D39">
            <v>5463227.89</v>
          </cell>
        </row>
        <row r="39">
          <cell r="H39">
            <v>15505130.42</v>
          </cell>
        </row>
        <row r="40">
          <cell r="A40" t="str">
            <v>Fatullah</v>
          </cell>
          <cell r="B40">
            <v>201019.61</v>
          </cell>
          <cell r="C40">
            <v>4364631.25</v>
          </cell>
        </row>
        <row r="40">
          <cell r="H40">
            <v>4565650.86</v>
          </cell>
        </row>
        <row r="41">
          <cell r="A41" t="str">
            <v>Feni</v>
          </cell>
          <cell r="B41">
            <v>267172.72</v>
          </cell>
          <cell r="C41">
            <v>3848068.81</v>
          </cell>
          <cell r="D41">
            <v>1979661.82</v>
          </cell>
        </row>
        <row r="41">
          <cell r="H41">
            <v>6094903.35</v>
          </cell>
        </row>
        <row r="42">
          <cell r="A42" t="str">
            <v>Fulbari</v>
          </cell>
          <cell r="B42">
            <v>330695.31</v>
          </cell>
          <cell r="C42">
            <v>515809.15</v>
          </cell>
        </row>
        <row r="42">
          <cell r="E42">
            <v>2418156.09</v>
          </cell>
        </row>
        <row r="42">
          <cell r="H42">
            <v>3264660.55</v>
          </cell>
        </row>
        <row r="43">
          <cell r="A43" t="str">
            <v>Gaibandha</v>
          </cell>
          <cell r="B43">
            <v>721333.32</v>
          </cell>
          <cell r="C43">
            <v>2304775.49</v>
          </cell>
        </row>
        <row r="43">
          <cell r="H43">
            <v>3026108.81</v>
          </cell>
        </row>
        <row r="44">
          <cell r="A44" t="str">
            <v>Gazipur</v>
          </cell>
          <cell r="B44">
            <v>261516.02</v>
          </cell>
          <cell r="C44">
            <v>12472584.29</v>
          </cell>
          <cell r="D44">
            <v>7977748.28</v>
          </cell>
        </row>
        <row r="44">
          <cell r="H44">
            <v>20711848.59</v>
          </cell>
        </row>
        <row r="45">
          <cell r="A45" t="str">
            <v>Ghatail</v>
          </cell>
        </row>
        <row r="45">
          <cell r="C45">
            <v>1386290.36</v>
          </cell>
        </row>
        <row r="45">
          <cell r="H45">
            <v>1386290.36</v>
          </cell>
        </row>
        <row r="46">
          <cell r="A46" t="str">
            <v>Gopalgonj</v>
          </cell>
          <cell r="B46">
            <v>3015474.72</v>
          </cell>
          <cell r="C46">
            <v>6395363.65</v>
          </cell>
          <cell r="D46">
            <v>8471498.11</v>
          </cell>
        </row>
        <row r="46">
          <cell r="G46">
            <v>34913995.83</v>
          </cell>
          <cell r="H46">
            <v>52796332.31</v>
          </cell>
        </row>
        <row r="47">
          <cell r="A47" t="str">
            <v>Gulistan</v>
          </cell>
        </row>
        <row r="47">
          <cell r="C47">
            <v>722536.1</v>
          </cell>
          <cell r="D47">
            <v>4670698.31</v>
          </cell>
          <cell r="E47">
            <v>2452452.21</v>
          </cell>
        </row>
        <row r="47">
          <cell r="G47">
            <v>6857615.46</v>
          </cell>
          <cell r="H47">
            <v>14703302.08</v>
          </cell>
        </row>
        <row r="48">
          <cell r="A48" t="str">
            <v>Halishahar</v>
          </cell>
          <cell r="B48">
            <v>388917.14</v>
          </cell>
          <cell r="C48">
            <v>780363.95</v>
          </cell>
          <cell r="D48">
            <v>3355319.68</v>
          </cell>
        </row>
        <row r="48">
          <cell r="H48">
            <v>4524600.77</v>
          </cell>
        </row>
        <row r="49">
          <cell r="A49" t="str">
            <v>Hasnabad</v>
          </cell>
          <cell r="B49">
            <v>1586649.13</v>
          </cell>
          <cell r="C49">
            <v>8994070.72</v>
          </cell>
          <cell r="D49">
            <v>5903435.69</v>
          </cell>
        </row>
        <row r="49">
          <cell r="F49">
            <v>2255552.57</v>
          </cell>
        </row>
        <row r="49">
          <cell r="H49">
            <v>18739708.11</v>
          </cell>
        </row>
        <row r="50">
          <cell r="A50" t="str">
            <v>Hathazari</v>
          </cell>
          <cell r="B50">
            <v>803716.68</v>
          </cell>
          <cell r="C50">
            <v>7808511.66</v>
          </cell>
          <cell r="D50">
            <v>12313530.84</v>
          </cell>
          <cell r="E50">
            <v>1468685.95</v>
          </cell>
        </row>
        <row r="50">
          <cell r="H50">
            <v>22394445.13</v>
          </cell>
        </row>
        <row r="51">
          <cell r="A51" t="str">
            <v>Hazigonj</v>
          </cell>
          <cell r="B51">
            <v>1129944.54</v>
          </cell>
          <cell r="C51">
            <v>6276822.08</v>
          </cell>
          <cell r="D51">
            <v>6101399.14</v>
          </cell>
          <cell r="E51">
            <v>3845266.5</v>
          </cell>
        </row>
        <row r="51">
          <cell r="H51">
            <v>17353432.26</v>
          </cell>
        </row>
        <row r="52">
          <cell r="A52" t="str">
            <v>Hobigonj</v>
          </cell>
          <cell r="B52">
            <v>1307004.53</v>
          </cell>
          <cell r="C52">
            <v>3127257.78</v>
          </cell>
        </row>
        <row r="52">
          <cell r="F52">
            <v>987518.13</v>
          </cell>
        </row>
        <row r="52">
          <cell r="H52">
            <v>5421780.44</v>
          </cell>
        </row>
        <row r="53">
          <cell r="A53" t="str">
            <v>Imamgonj</v>
          </cell>
          <cell r="B53">
            <v>836851.59</v>
          </cell>
          <cell r="C53">
            <v>1701041.72</v>
          </cell>
          <cell r="D53">
            <v>5559524.62</v>
          </cell>
        </row>
        <row r="53">
          <cell r="H53">
            <v>8097417.93</v>
          </cell>
        </row>
        <row r="54">
          <cell r="A54" t="str">
            <v>Ishwardi</v>
          </cell>
          <cell r="B54">
            <v>832158.65</v>
          </cell>
          <cell r="C54">
            <v>5703141.83</v>
          </cell>
          <cell r="D54">
            <v>4492915.09</v>
          </cell>
        </row>
        <row r="54">
          <cell r="G54">
            <v>12789704.92</v>
          </cell>
          <cell r="H54">
            <v>23817920.49</v>
          </cell>
        </row>
        <row r="55">
          <cell r="A55" t="str">
            <v>Islambagh</v>
          </cell>
          <cell r="B55">
            <v>588759.32</v>
          </cell>
          <cell r="C55">
            <v>3475308.59</v>
          </cell>
          <cell r="D55">
            <v>1494101.26</v>
          </cell>
        </row>
        <row r="55">
          <cell r="H55">
            <v>5558169.17</v>
          </cell>
        </row>
        <row r="56">
          <cell r="A56" t="str">
            <v>Islampur Road</v>
          </cell>
        </row>
        <row r="56">
          <cell r="C56">
            <v>3487515.3</v>
          </cell>
          <cell r="D56">
            <v>12882651.79</v>
          </cell>
          <cell r="E56">
            <v>1983999.97</v>
          </cell>
        </row>
        <row r="56">
          <cell r="H56">
            <v>18354167.06</v>
          </cell>
        </row>
        <row r="57">
          <cell r="A57" t="str">
            <v>Jatrabari</v>
          </cell>
          <cell r="B57">
            <v>1518608.82</v>
          </cell>
          <cell r="C57">
            <v>7527937.58</v>
          </cell>
          <cell r="D57">
            <v>6466582.59</v>
          </cell>
          <cell r="E57">
            <v>7172339.26</v>
          </cell>
          <cell r="F57">
            <v>681443.27</v>
          </cell>
        </row>
        <row r="57">
          <cell r="H57">
            <v>23366911.52</v>
          </cell>
        </row>
        <row r="58">
          <cell r="A58" t="str">
            <v>Jessore</v>
          </cell>
          <cell r="B58">
            <v>865224.25</v>
          </cell>
          <cell r="C58">
            <v>8358979.76</v>
          </cell>
          <cell r="D58">
            <v>16486644</v>
          </cell>
          <cell r="E58">
            <v>4844892.67</v>
          </cell>
        </row>
        <row r="58">
          <cell r="H58">
            <v>30555740.68</v>
          </cell>
        </row>
        <row r="59">
          <cell r="A59" t="str">
            <v>Jhenaidah</v>
          </cell>
          <cell r="B59">
            <v>1172045.62</v>
          </cell>
          <cell r="C59">
            <v>3879746.52</v>
          </cell>
        </row>
        <row r="59">
          <cell r="H59">
            <v>5051792.14</v>
          </cell>
        </row>
        <row r="60">
          <cell r="A60" t="str">
            <v>Jikorgacha</v>
          </cell>
          <cell r="B60">
            <v>1724646.13</v>
          </cell>
          <cell r="C60">
            <v>3785495.43</v>
          </cell>
          <cell r="D60">
            <v>6688456.72</v>
          </cell>
        </row>
        <row r="60">
          <cell r="H60">
            <v>12198598.28</v>
          </cell>
        </row>
        <row r="61">
          <cell r="A61" t="str">
            <v>Joydebpur</v>
          </cell>
          <cell r="B61">
            <v>869035.29</v>
          </cell>
          <cell r="C61">
            <v>5487002.36</v>
          </cell>
          <cell r="D61">
            <v>7318568.44</v>
          </cell>
        </row>
        <row r="61">
          <cell r="H61">
            <v>13674606.09</v>
          </cell>
        </row>
        <row r="62">
          <cell r="A62" t="str">
            <v>Joypurhat</v>
          </cell>
          <cell r="B62">
            <v>97109.37</v>
          </cell>
          <cell r="C62">
            <v>3993360.38</v>
          </cell>
          <cell r="D62">
            <v>6242873.26</v>
          </cell>
        </row>
        <row r="62">
          <cell r="G62">
            <v>16237808.51</v>
          </cell>
          <cell r="H62">
            <v>26571151.52</v>
          </cell>
        </row>
        <row r="63">
          <cell r="A63" t="str">
            <v>Kadamtali</v>
          </cell>
          <cell r="B63">
            <v>970404.38</v>
          </cell>
          <cell r="C63">
            <v>15471904.54</v>
          </cell>
          <cell r="D63">
            <v>10521235.89</v>
          </cell>
        </row>
        <row r="63">
          <cell r="H63">
            <v>26963544.81</v>
          </cell>
        </row>
        <row r="64">
          <cell r="A64" t="str">
            <v>Kalurghat</v>
          </cell>
          <cell r="B64">
            <v>567247.36</v>
          </cell>
          <cell r="C64">
            <v>6071092.5</v>
          </cell>
          <cell r="D64">
            <v>7405085.4</v>
          </cell>
          <cell r="E64">
            <v>4146611.23</v>
          </cell>
        </row>
        <row r="64">
          <cell r="H64">
            <v>18190036.49</v>
          </cell>
        </row>
        <row r="65">
          <cell r="A65" t="str">
            <v>Kamrangirchar</v>
          </cell>
          <cell r="B65">
            <v>1195826.4</v>
          </cell>
          <cell r="C65">
            <v>4633720.28</v>
          </cell>
          <cell r="D65">
            <v>1245273.54</v>
          </cell>
        </row>
        <row r="65">
          <cell r="H65">
            <v>7074820.22</v>
          </cell>
        </row>
        <row r="66">
          <cell r="A66" t="str">
            <v>Kazipara</v>
          </cell>
          <cell r="B66">
            <v>582812.72</v>
          </cell>
          <cell r="C66">
            <v>3254138.39</v>
          </cell>
          <cell r="D66">
            <v>3189837.68</v>
          </cell>
          <cell r="E66">
            <v>3530532.47</v>
          </cell>
        </row>
        <row r="66">
          <cell r="H66">
            <v>10557321.26</v>
          </cell>
        </row>
        <row r="67">
          <cell r="A67" t="str">
            <v>Keranigonj</v>
          </cell>
          <cell r="B67">
            <v>526220.73</v>
          </cell>
          <cell r="C67">
            <v>4436771.81</v>
          </cell>
          <cell r="D67">
            <v>8609234.94</v>
          </cell>
        </row>
        <row r="67">
          <cell r="H67">
            <v>13572227.48</v>
          </cell>
        </row>
        <row r="68">
          <cell r="A68" t="str">
            <v>Keshobpur</v>
          </cell>
          <cell r="B68">
            <v>1642718.05</v>
          </cell>
          <cell r="C68">
            <v>4852122.13</v>
          </cell>
          <cell r="D68">
            <v>6845423.39</v>
          </cell>
        </row>
        <row r="68">
          <cell r="H68">
            <v>13340263.57</v>
          </cell>
        </row>
        <row r="69">
          <cell r="A69" t="str">
            <v>Khatungonj</v>
          </cell>
          <cell r="B69">
            <v>187158.41</v>
          </cell>
          <cell r="C69">
            <v>5497022.35</v>
          </cell>
          <cell r="D69">
            <v>4844835.94</v>
          </cell>
          <cell r="E69">
            <v>3829615.43</v>
          </cell>
        </row>
        <row r="69">
          <cell r="H69">
            <v>14358632.13</v>
          </cell>
        </row>
        <row r="70">
          <cell r="A70" t="str">
            <v>Khulna</v>
          </cell>
          <cell r="B70">
            <v>1926634.88</v>
          </cell>
          <cell r="C70">
            <v>4251982.07</v>
          </cell>
          <cell r="D70">
            <v>9830970.48</v>
          </cell>
          <cell r="E70">
            <v>4829621.16</v>
          </cell>
          <cell r="F70">
            <v>3196101.45</v>
          </cell>
          <cell r="G70">
            <v>9263402.69</v>
          </cell>
          <cell r="H70">
            <v>33298712.73</v>
          </cell>
        </row>
        <row r="71">
          <cell r="A71" t="str">
            <v>Konabari</v>
          </cell>
          <cell r="B71">
            <v>1968958.99</v>
          </cell>
          <cell r="C71">
            <v>4116850.39</v>
          </cell>
        </row>
        <row r="71">
          <cell r="F71">
            <v>4889690.9</v>
          </cell>
        </row>
        <row r="71">
          <cell r="H71">
            <v>10975500.28</v>
          </cell>
        </row>
        <row r="72">
          <cell r="A72" t="str">
            <v>Kosba</v>
          </cell>
          <cell r="B72">
            <v>1096644.27</v>
          </cell>
          <cell r="C72">
            <v>6558680.69</v>
          </cell>
        </row>
        <row r="72">
          <cell r="H72">
            <v>7655324.96</v>
          </cell>
        </row>
        <row r="73">
          <cell r="A73" t="str">
            <v>Kotiadi</v>
          </cell>
          <cell r="B73">
            <v>1436412.41</v>
          </cell>
          <cell r="C73">
            <v>6683162.45</v>
          </cell>
        </row>
        <row r="73">
          <cell r="H73">
            <v>8119574.86</v>
          </cell>
        </row>
        <row r="74">
          <cell r="A74" t="str">
            <v>Kurigram</v>
          </cell>
          <cell r="B74">
            <v>4272626.38</v>
          </cell>
          <cell r="C74">
            <v>3322952.42</v>
          </cell>
        </row>
        <row r="74">
          <cell r="F74">
            <v>253168.1</v>
          </cell>
        </row>
        <row r="74">
          <cell r="H74">
            <v>7848746.9</v>
          </cell>
        </row>
        <row r="75">
          <cell r="A75" t="str">
            <v>Kushtia</v>
          </cell>
          <cell r="B75">
            <v>3522649.7</v>
          </cell>
          <cell r="C75">
            <v>6778227.9</v>
          </cell>
          <cell r="D75">
            <v>11432034.66</v>
          </cell>
        </row>
        <row r="75">
          <cell r="H75">
            <v>21732912.26</v>
          </cell>
        </row>
        <row r="76">
          <cell r="A76" t="str">
            <v>Laksham</v>
          </cell>
          <cell r="B76">
            <v>1755562.71</v>
          </cell>
          <cell r="C76">
            <v>6124469.42</v>
          </cell>
          <cell r="D76">
            <v>3267346.61</v>
          </cell>
        </row>
        <row r="76">
          <cell r="H76">
            <v>11147378.74</v>
          </cell>
        </row>
        <row r="77">
          <cell r="A77" t="str">
            <v>Laxmipur</v>
          </cell>
          <cell r="B77">
            <v>1163275.81</v>
          </cell>
          <cell r="C77">
            <v>5252854.09</v>
          </cell>
          <cell r="D77">
            <v>1701036.76</v>
          </cell>
        </row>
        <row r="77">
          <cell r="H77">
            <v>8117166.66</v>
          </cell>
        </row>
        <row r="78">
          <cell r="A78" t="str">
            <v>Lohagora, CTG</v>
          </cell>
          <cell r="B78">
            <v>849795.11</v>
          </cell>
          <cell r="C78">
            <v>4111521.03</v>
          </cell>
          <cell r="D78">
            <v>1482565.42</v>
          </cell>
        </row>
        <row r="78">
          <cell r="H78">
            <v>6443881.56</v>
          </cell>
        </row>
        <row r="79">
          <cell r="A79" t="str">
            <v>Madhabpur</v>
          </cell>
          <cell r="B79">
            <v>2166723.71</v>
          </cell>
          <cell r="C79">
            <v>3403236.19</v>
          </cell>
          <cell r="D79">
            <v>1594755.85</v>
          </cell>
        </row>
        <row r="79">
          <cell r="H79">
            <v>7164715.75</v>
          </cell>
        </row>
        <row r="80">
          <cell r="A80" t="str">
            <v>Magura</v>
          </cell>
          <cell r="B80">
            <v>1716023.59</v>
          </cell>
          <cell r="C80">
            <v>2711954.91</v>
          </cell>
          <cell r="D80">
            <v>3317866.21</v>
          </cell>
        </row>
        <row r="80">
          <cell r="H80">
            <v>7745844.71</v>
          </cell>
        </row>
        <row r="81">
          <cell r="A81" t="str">
            <v>Maijdee</v>
          </cell>
          <cell r="B81">
            <v>1814554.64</v>
          </cell>
          <cell r="C81">
            <v>7297400.56</v>
          </cell>
          <cell r="D81">
            <v>3400291.28</v>
          </cell>
        </row>
        <row r="81">
          <cell r="H81">
            <v>12512246.48</v>
          </cell>
        </row>
        <row r="82">
          <cell r="A82" t="str">
            <v>Manikgonj</v>
          </cell>
          <cell r="B82">
            <v>235539.52</v>
          </cell>
          <cell r="C82">
            <v>1626429.97</v>
          </cell>
        </row>
        <row r="82">
          <cell r="H82">
            <v>1861969.49</v>
          </cell>
        </row>
        <row r="83">
          <cell r="A83" t="str">
            <v>Mirpur</v>
          </cell>
          <cell r="B83">
            <v>644239.19</v>
          </cell>
          <cell r="C83">
            <v>15873552.72</v>
          </cell>
          <cell r="D83">
            <v>18662748.68</v>
          </cell>
          <cell r="E83">
            <v>2836530.09</v>
          </cell>
        </row>
        <row r="83">
          <cell r="H83">
            <v>38017070.68</v>
          </cell>
        </row>
        <row r="84">
          <cell r="A84" t="str">
            <v>Moghbazar</v>
          </cell>
          <cell r="B84">
            <v>215494.88</v>
          </cell>
          <cell r="C84">
            <v>2254136.19</v>
          </cell>
          <cell r="D84">
            <v>1019880.18</v>
          </cell>
        </row>
        <row r="84">
          <cell r="H84">
            <v>3489511.25</v>
          </cell>
        </row>
        <row r="85">
          <cell r="A85" t="str">
            <v>Mohammadpur</v>
          </cell>
          <cell r="B85">
            <v>607838.87</v>
          </cell>
          <cell r="C85">
            <v>5614802.71</v>
          </cell>
          <cell r="D85">
            <v>9561837.26</v>
          </cell>
        </row>
        <row r="85">
          <cell r="H85">
            <v>15784478.84</v>
          </cell>
        </row>
        <row r="86">
          <cell r="A86" t="str">
            <v>Mymensingh</v>
          </cell>
          <cell r="B86">
            <v>1053598.61</v>
          </cell>
          <cell r="C86">
            <v>11916900.55</v>
          </cell>
          <cell r="D86">
            <v>5313246.39</v>
          </cell>
        </row>
        <row r="86">
          <cell r="F86">
            <v>5466626.11</v>
          </cell>
        </row>
        <row r="86">
          <cell r="H86">
            <v>23750371.66</v>
          </cell>
        </row>
        <row r="87">
          <cell r="A87" t="str">
            <v>Nangolkot</v>
          </cell>
          <cell r="B87">
            <v>564103.88</v>
          </cell>
          <cell r="C87">
            <v>1315710.88</v>
          </cell>
        </row>
        <row r="87">
          <cell r="H87">
            <v>1879814.76</v>
          </cell>
        </row>
        <row r="88">
          <cell r="A88" t="str">
            <v>Naogaon</v>
          </cell>
          <cell r="B88">
            <v>596116.56</v>
          </cell>
          <cell r="C88">
            <v>3708378.2</v>
          </cell>
        </row>
        <row r="88">
          <cell r="H88">
            <v>4304494.76</v>
          </cell>
        </row>
        <row r="89">
          <cell r="A89" t="str">
            <v>Narail</v>
          </cell>
          <cell r="B89">
            <v>1442842.77</v>
          </cell>
          <cell r="C89">
            <v>1916340.65</v>
          </cell>
          <cell r="D89">
            <v>746489.04</v>
          </cell>
        </row>
        <row r="89">
          <cell r="H89">
            <v>4105672.46</v>
          </cell>
        </row>
        <row r="90">
          <cell r="A90" t="str">
            <v>Narayangonj</v>
          </cell>
        </row>
        <row r="90">
          <cell r="C90">
            <v>2636959.48</v>
          </cell>
          <cell r="D90">
            <v>3106248.78</v>
          </cell>
        </row>
        <row r="90">
          <cell r="H90">
            <v>5743208.26</v>
          </cell>
        </row>
        <row r="91">
          <cell r="A91" t="str">
            <v>Narsingdi</v>
          </cell>
          <cell r="B91">
            <v>1454852.74</v>
          </cell>
          <cell r="C91">
            <v>2398699.76</v>
          </cell>
          <cell r="D91">
            <v>4438827.83</v>
          </cell>
        </row>
        <row r="91">
          <cell r="H91">
            <v>8292380.33</v>
          </cell>
        </row>
        <row r="92">
          <cell r="A92" t="str">
            <v>Nawabgonj</v>
          </cell>
          <cell r="B92">
            <v>116000.81</v>
          </cell>
          <cell r="C92">
            <v>4900536.73</v>
          </cell>
          <cell r="D92">
            <v>676895.18</v>
          </cell>
        </row>
        <row r="92">
          <cell r="H92">
            <v>5693432.72</v>
          </cell>
        </row>
        <row r="93">
          <cell r="A93" t="str">
            <v>Nawabpur</v>
          </cell>
          <cell r="B93">
            <v>1195862.99</v>
          </cell>
          <cell r="C93">
            <v>362300.23</v>
          </cell>
          <cell r="D93">
            <v>4702981.01</v>
          </cell>
        </row>
        <row r="93">
          <cell r="H93">
            <v>6261144.23</v>
          </cell>
        </row>
        <row r="94">
          <cell r="A94" t="str">
            <v>Nondon Kanon</v>
          </cell>
          <cell r="B94">
            <v>130940.97</v>
          </cell>
          <cell r="C94">
            <v>4968237.17</v>
          </cell>
          <cell r="D94">
            <v>4040691.19</v>
          </cell>
        </row>
        <row r="94">
          <cell r="H94">
            <v>9139869.33</v>
          </cell>
        </row>
        <row r="95">
          <cell r="A95" t="str">
            <v>Pabna</v>
          </cell>
          <cell r="B95">
            <v>619168.16</v>
          </cell>
          <cell r="C95">
            <v>6789983.34</v>
          </cell>
          <cell r="D95">
            <v>1371305.41</v>
          </cell>
        </row>
        <row r="95">
          <cell r="G95">
            <v>2418628.47</v>
          </cell>
          <cell r="H95">
            <v>11199085.38</v>
          </cell>
        </row>
        <row r="96">
          <cell r="A96" t="str">
            <v>Pahartali</v>
          </cell>
        </row>
        <row r="96">
          <cell r="C96">
            <v>1241221.85</v>
          </cell>
          <cell r="D96">
            <v>9040324.3</v>
          </cell>
          <cell r="E96">
            <v>15257581.1</v>
          </cell>
        </row>
        <row r="96">
          <cell r="H96">
            <v>25539127.25</v>
          </cell>
        </row>
        <row r="97">
          <cell r="A97" t="str">
            <v>Panchaghar</v>
          </cell>
          <cell r="B97">
            <v>277532.94</v>
          </cell>
          <cell r="C97">
            <v>3262152.53</v>
          </cell>
          <cell r="D97">
            <v>885008.01</v>
          </cell>
          <cell r="E97">
            <v>1540242.09</v>
          </cell>
          <cell r="F97">
            <v>10766.06</v>
          </cell>
        </row>
        <row r="97">
          <cell r="H97">
            <v>5975701.63</v>
          </cell>
        </row>
        <row r="98">
          <cell r="A98" t="str">
            <v>Patuakhali</v>
          </cell>
          <cell r="B98">
            <v>3087762.74</v>
          </cell>
          <cell r="C98">
            <v>9940908.99</v>
          </cell>
          <cell r="D98">
            <v>5547250.79</v>
          </cell>
        </row>
        <row r="98">
          <cell r="F98">
            <v>8003924.68</v>
          </cell>
        </row>
        <row r="98">
          <cell r="H98">
            <v>26579847.2</v>
          </cell>
        </row>
        <row r="99">
          <cell r="A99" t="str">
            <v>Potiya</v>
          </cell>
          <cell r="B99">
            <v>1128892.82</v>
          </cell>
          <cell r="C99">
            <v>2852545.12</v>
          </cell>
          <cell r="D99">
            <v>10444865.58</v>
          </cell>
        </row>
        <row r="99">
          <cell r="H99">
            <v>14426303.52</v>
          </cell>
        </row>
        <row r="100">
          <cell r="A100" t="str">
            <v>Rajbari</v>
          </cell>
          <cell r="B100">
            <v>1725827.46</v>
          </cell>
          <cell r="C100">
            <v>5105396.92</v>
          </cell>
          <cell r="D100">
            <v>2734562.05</v>
          </cell>
          <cell r="E100">
            <v>384805.36</v>
          </cell>
          <cell r="F100">
            <v>298313.23</v>
          </cell>
        </row>
        <row r="100">
          <cell r="H100">
            <v>10248905.02</v>
          </cell>
        </row>
        <row r="101">
          <cell r="A101" t="str">
            <v>Rajshahi</v>
          </cell>
          <cell r="B101">
            <v>2031663.1</v>
          </cell>
          <cell r="C101">
            <v>7465646.05</v>
          </cell>
          <cell r="D101">
            <v>2251249.11</v>
          </cell>
        </row>
        <row r="101">
          <cell r="H101">
            <v>11748558.26</v>
          </cell>
        </row>
        <row r="102">
          <cell r="A102" t="str">
            <v>Rangpur</v>
          </cell>
          <cell r="B102">
            <v>1504137.83</v>
          </cell>
          <cell r="C102">
            <v>2385158.12</v>
          </cell>
          <cell r="D102">
            <v>3047913.05</v>
          </cell>
        </row>
        <row r="102">
          <cell r="H102">
            <v>6937209</v>
          </cell>
        </row>
        <row r="103">
          <cell r="A103" t="str">
            <v>Savar</v>
          </cell>
          <cell r="B103">
            <v>1376121.92</v>
          </cell>
          <cell r="C103">
            <v>6405299.95</v>
          </cell>
          <cell r="D103">
            <v>5221880.97</v>
          </cell>
        </row>
        <row r="103">
          <cell r="G103">
            <v>10020075.61</v>
          </cell>
          <cell r="H103">
            <v>23023378.45</v>
          </cell>
        </row>
        <row r="104">
          <cell r="A104" t="str">
            <v>Savar-2</v>
          </cell>
          <cell r="B104">
            <v>179029.05</v>
          </cell>
          <cell r="C104">
            <v>3119432.75</v>
          </cell>
          <cell r="D104">
            <v>1832513.5</v>
          </cell>
          <cell r="E104">
            <v>5873472.22</v>
          </cell>
        </row>
        <row r="104">
          <cell r="H104">
            <v>11004447.52</v>
          </cell>
        </row>
        <row r="105">
          <cell r="A105" t="str">
            <v>Shaheshtagonj</v>
          </cell>
          <cell r="B105">
            <v>1883571.3</v>
          </cell>
          <cell r="C105">
            <v>584729.88</v>
          </cell>
          <cell r="D105">
            <v>4791883.48</v>
          </cell>
        </row>
        <row r="105">
          <cell r="H105">
            <v>7260184.66</v>
          </cell>
        </row>
        <row r="106">
          <cell r="A106" t="str">
            <v>Shambazar</v>
          </cell>
          <cell r="B106">
            <v>1359317.76</v>
          </cell>
          <cell r="C106">
            <v>7683295.22</v>
          </cell>
          <cell r="D106">
            <v>3617242.7</v>
          </cell>
        </row>
        <row r="106">
          <cell r="H106">
            <v>12659855.68</v>
          </cell>
        </row>
        <row r="107">
          <cell r="A107" t="str">
            <v>Shariatpur</v>
          </cell>
          <cell r="B107">
            <v>763029.81</v>
          </cell>
          <cell r="C107">
            <v>4188617.09</v>
          </cell>
          <cell r="D107">
            <v>220799.95</v>
          </cell>
        </row>
        <row r="107">
          <cell r="H107">
            <v>5172446.85</v>
          </cell>
        </row>
        <row r="108">
          <cell r="A108" t="str">
            <v>Shiddirgonj</v>
          </cell>
          <cell r="B108">
            <v>30199.34</v>
          </cell>
          <cell r="C108">
            <v>2426438.61</v>
          </cell>
        </row>
        <row r="108">
          <cell r="H108">
            <v>2456637.95</v>
          </cell>
        </row>
        <row r="109">
          <cell r="A109" t="str">
            <v>Sirajgonj</v>
          </cell>
          <cell r="B109">
            <v>768348.29</v>
          </cell>
          <cell r="C109">
            <v>1388400.66</v>
          </cell>
          <cell r="D109">
            <v>2611418.72</v>
          </cell>
        </row>
        <row r="109">
          <cell r="H109">
            <v>4768167.67</v>
          </cell>
        </row>
        <row r="110">
          <cell r="A110" t="str">
            <v>Sonir Akhra</v>
          </cell>
          <cell r="B110">
            <v>75560.22</v>
          </cell>
          <cell r="C110">
            <v>1990530.22</v>
          </cell>
        </row>
        <row r="110">
          <cell r="G110">
            <v>9203562.13</v>
          </cell>
          <cell r="H110">
            <v>11269652.57</v>
          </cell>
        </row>
        <row r="111">
          <cell r="A111" t="str">
            <v>South Surma</v>
          </cell>
          <cell r="B111">
            <v>472547.3</v>
          </cell>
          <cell r="C111">
            <v>4388695.54</v>
          </cell>
          <cell r="D111">
            <v>1503725.98</v>
          </cell>
        </row>
        <row r="111">
          <cell r="H111">
            <v>6364968.82</v>
          </cell>
        </row>
        <row r="112">
          <cell r="A112" t="str">
            <v>Sreenagar</v>
          </cell>
          <cell r="B112">
            <v>538860.01</v>
          </cell>
          <cell r="C112">
            <v>4723039.09</v>
          </cell>
        </row>
        <row r="112">
          <cell r="H112">
            <v>5261899.1</v>
          </cell>
        </row>
        <row r="113">
          <cell r="A113" t="str">
            <v>Sreepur</v>
          </cell>
          <cell r="B113">
            <v>222118.55</v>
          </cell>
          <cell r="C113">
            <v>3074449.86</v>
          </cell>
          <cell r="D113">
            <v>1021356.36</v>
          </cell>
          <cell r="E113">
            <v>3486893.73</v>
          </cell>
        </row>
        <row r="113">
          <cell r="H113">
            <v>7804818.5</v>
          </cell>
        </row>
        <row r="114">
          <cell r="A114" t="str">
            <v>Swarupkathi</v>
          </cell>
          <cell r="B114">
            <v>3967917.93</v>
          </cell>
          <cell r="C114">
            <v>8165745.2</v>
          </cell>
          <cell r="D114">
            <v>9910632.77</v>
          </cell>
        </row>
        <row r="114">
          <cell r="H114">
            <v>22044295.9</v>
          </cell>
        </row>
        <row r="115">
          <cell r="A115" t="str">
            <v>Syedpur</v>
          </cell>
          <cell r="B115">
            <v>891674.13</v>
          </cell>
          <cell r="C115">
            <v>377906.63</v>
          </cell>
          <cell r="D115">
            <v>1100926.59</v>
          </cell>
        </row>
        <row r="115">
          <cell r="F115">
            <v>1714479.86</v>
          </cell>
        </row>
        <row r="115">
          <cell r="H115">
            <v>4084987.21</v>
          </cell>
        </row>
        <row r="116">
          <cell r="A116" t="str">
            <v>Tangail</v>
          </cell>
          <cell r="B116">
            <v>2006743.72</v>
          </cell>
          <cell r="C116">
            <v>5257265.02</v>
          </cell>
          <cell r="D116">
            <v>3009828.92</v>
          </cell>
        </row>
        <row r="116">
          <cell r="H116">
            <v>10273837.66</v>
          </cell>
        </row>
        <row r="117">
          <cell r="A117" t="str">
            <v>Thakurgaon</v>
          </cell>
          <cell r="B117">
            <v>1722779.52</v>
          </cell>
          <cell r="C117">
            <v>4731340.93</v>
          </cell>
          <cell r="D117">
            <v>38455.34</v>
          </cell>
        </row>
        <row r="117">
          <cell r="F117">
            <v>577796.48</v>
          </cell>
        </row>
        <row r="117">
          <cell r="H117">
            <v>7070372.27</v>
          </cell>
        </row>
        <row r="118">
          <cell r="A118" t="str">
            <v>Tongi</v>
          </cell>
          <cell r="B118">
            <v>1296254.15</v>
          </cell>
          <cell r="C118">
            <v>13968708.17</v>
          </cell>
          <cell r="D118">
            <v>13295290.87</v>
          </cell>
        </row>
        <row r="118">
          <cell r="H118">
            <v>28560253.19</v>
          </cell>
        </row>
        <row r="119">
          <cell r="A119" t="str">
            <v>Zinzira</v>
          </cell>
          <cell r="B119">
            <v>1273791.35</v>
          </cell>
          <cell r="C119">
            <v>9327354.51</v>
          </cell>
          <cell r="D119">
            <v>1553948.88</v>
          </cell>
        </row>
        <row r="119">
          <cell r="H119">
            <v>12155094.74</v>
          </cell>
        </row>
        <row r="120">
          <cell r="A120" t="str">
            <v>Grand Total</v>
          </cell>
          <cell r="B120">
            <v>138255569.81</v>
          </cell>
          <cell r="C120">
            <v>588727480.22</v>
          </cell>
          <cell r="D120">
            <v>500151702.29</v>
          </cell>
          <cell r="E120">
            <v>94232547.73</v>
          </cell>
          <cell r="F120">
            <v>63910738.52</v>
          </cell>
          <cell r="G120">
            <v>119750909.75</v>
          </cell>
          <cell r="H120">
            <v>1505028948.32</v>
          </cell>
        </row>
      </sheetData>
      <sheetData sheetId="19">
        <row r="5">
          <cell r="A5" t="str">
            <v>Agailjhara</v>
          </cell>
          <cell r="B5">
            <v>37477546.51</v>
          </cell>
          <cell r="C5">
            <v>70562757.16</v>
          </cell>
          <cell r="D5">
            <v>22847721.18</v>
          </cell>
          <cell r="E5">
            <v>11903024.61</v>
          </cell>
        </row>
        <row r="5">
          <cell r="G5">
            <v>90552425.12</v>
          </cell>
        </row>
        <row r="6">
          <cell r="A6" t="str">
            <v>Ambarkhana</v>
          </cell>
          <cell r="B6">
            <v>59781686.92</v>
          </cell>
          <cell r="C6">
            <v>6800000</v>
          </cell>
        </row>
        <row r="6">
          <cell r="E6">
            <v>12908193.69</v>
          </cell>
        </row>
        <row r="6">
          <cell r="G6">
            <v>59293407.95</v>
          </cell>
        </row>
        <row r="7">
          <cell r="A7" t="str">
            <v>Anderkilla</v>
          </cell>
          <cell r="B7">
            <v>1536855.61</v>
          </cell>
          <cell r="C7">
            <v>55953398.71</v>
          </cell>
          <cell r="D7">
            <v>42105340</v>
          </cell>
          <cell r="E7">
            <v>70475649.44</v>
          </cell>
        </row>
        <row r="7">
          <cell r="G7">
            <v>283612105.63</v>
          </cell>
        </row>
        <row r="8">
          <cell r="A8" t="str">
            <v>Ashulia</v>
          </cell>
          <cell r="B8">
            <v>2326962.82</v>
          </cell>
          <cell r="C8">
            <v>38511690.51</v>
          </cell>
          <cell r="D8">
            <v>55288748.86</v>
          </cell>
          <cell r="E8">
            <v>239643773.22</v>
          </cell>
        </row>
        <row r="8">
          <cell r="G8">
            <v>122583136.4</v>
          </cell>
        </row>
        <row r="9">
          <cell r="A9" t="str">
            <v>Badda</v>
          </cell>
          <cell r="B9">
            <v>8172414.26</v>
          </cell>
          <cell r="C9">
            <v>69024816.31</v>
          </cell>
          <cell r="D9">
            <v>62939172.72</v>
          </cell>
          <cell r="E9">
            <v>119312726.63</v>
          </cell>
        </row>
        <row r="9">
          <cell r="G9">
            <v>227933541.75</v>
          </cell>
        </row>
        <row r="10">
          <cell r="A10" t="str">
            <v>Bagerhat</v>
          </cell>
          <cell r="B10">
            <v>35068343.98</v>
          </cell>
          <cell r="C10">
            <v>4941402</v>
          </cell>
        </row>
        <row r="10">
          <cell r="E10">
            <v>12199017.18</v>
          </cell>
        </row>
        <row r="10">
          <cell r="G10">
            <v>77426964.09</v>
          </cell>
        </row>
        <row r="11">
          <cell r="A11" t="str">
            <v>Baligaon</v>
          </cell>
          <cell r="B11">
            <v>26448500.09</v>
          </cell>
        </row>
        <row r="11">
          <cell r="G11">
            <v>24190790.07</v>
          </cell>
        </row>
        <row r="12">
          <cell r="A12" t="str">
            <v>Banasree</v>
          </cell>
          <cell r="B12">
            <v>5678402.33</v>
          </cell>
          <cell r="C12">
            <v>91070864.97</v>
          </cell>
          <cell r="D12">
            <v>104585827.52</v>
          </cell>
          <cell r="E12">
            <v>69280057.63</v>
          </cell>
        </row>
        <row r="12">
          <cell r="G12">
            <v>177185166.79</v>
          </cell>
        </row>
        <row r="13">
          <cell r="A13" t="str">
            <v>Bancharampur</v>
          </cell>
          <cell r="B13">
            <v>58140422.28</v>
          </cell>
        </row>
        <row r="13">
          <cell r="G13">
            <v>16453675.5</v>
          </cell>
        </row>
        <row r="14">
          <cell r="A14" t="str">
            <v>Bandartila </v>
          </cell>
          <cell r="B14">
            <v>20229214.02</v>
          </cell>
          <cell r="C14">
            <v>11588580.23</v>
          </cell>
          <cell r="D14">
            <v>17327546.37</v>
          </cell>
          <cell r="E14">
            <v>22292009.85</v>
          </cell>
        </row>
        <row r="14">
          <cell r="G14">
            <v>61367658.22</v>
          </cell>
        </row>
        <row r="15">
          <cell r="A15" t="str">
            <v>Barguna</v>
          </cell>
          <cell r="B15">
            <v>36057196.16</v>
          </cell>
          <cell r="C15">
            <v>10616268.59</v>
          </cell>
          <cell r="D15">
            <v>9533300.39</v>
          </cell>
        </row>
        <row r="15">
          <cell r="G15">
            <v>63614017.53</v>
          </cell>
        </row>
        <row r="16">
          <cell r="A16" t="str">
            <v>Barishal</v>
          </cell>
          <cell r="B16">
            <v>27941436.12</v>
          </cell>
          <cell r="C16">
            <v>77800960.7</v>
          </cell>
          <cell r="D16">
            <v>33082549.43</v>
          </cell>
          <cell r="E16">
            <v>31108678.89</v>
          </cell>
        </row>
        <row r="16">
          <cell r="G16">
            <v>128508262.34</v>
          </cell>
        </row>
        <row r="17">
          <cell r="A17" t="str">
            <v>Bhanga</v>
          </cell>
          <cell r="B17">
            <v>72490064.66</v>
          </cell>
          <cell r="C17">
            <v>34296136.1</v>
          </cell>
        </row>
        <row r="17">
          <cell r="E17">
            <v>33544067.34</v>
          </cell>
        </row>
        <row r="17">
          <cell r="G17">
            <v>51627631.38</v>
          </cell>
        </row>
        <row r="18">
          <cell r="A18" t="str">
            <v>Bharaib</v>
          </cell>
          <cell r="B18">
            <v>15659834.95</v>
          </cell>
          <cell r="C18">
            <v>4056120.47</v>
          </cell>
          <cell r="D18">
            <v>20935043.94</v>
          </cell>
          <cell r="E18">
            <v>19620775.17</v>
          </cell>
        </row>
        <row r="18">
          <cell r="G18">
            <v>82199924.76</v>
          </cell>
        </row>
        <row r="19">
          <cell r="A19" t="str">
            <v>Bheramara</v>
          </cell>
          <cell r="B19">
            <v>19160803.96</v>
          </cell>
          <cell r="C19">
            <v>16663768.01</v>
          </cell>
          <cell r="D19">
            <v>23725206.53</v>
          </cell>
        </row>
        <row r="19">
          <cell r="G19">
            <v>130368101.4</v>
          </cell>
        </row>
        <row r="20">
          <cell r="A20" t="str">
            <v>Bhola</v>
          </cell>
          <cell r="B20">
            <v>14787773.12</v>
          </cell>
          <cell r="C20">
            <v>35119388.55</v>
          </cell>
          <cell r="D20">
            <v>5965649.03</v>
          </cell>
          <cell r="E20">
            <v>8594471.09</v>
          </cell>
        </row>
        <row r="20">
          <cell r="G20">
            <v>54067303.97</v>
          </cell>
        </row>
        <row r="21">
          <cell r="A21" t="str">
            <v>Bhulta</v>
          </cell>
          <cell r="B21">
            <v>12330949.25</v>
          </cell>
          <cell r="C21">
            <v>37407542.07</v>
          </cell>
        </row>
        <row r="21">
          <cell r="E21">
            <v>27342218.95</v>
          </cell>
        </row>
        <row r="21">
          <cell r="G21">
            <v>152638362.71</v>
          </cell>
        </row>
        <row r="22">
          <cell r="A22" t="str">
            <v>Bogura</v>
          </cell>
          <cell r="B22">
            <v>45357945.06</v>
          </cell>
          <cell r="C22">
            <v>77193321.33</v>
          </cell>
          <cell r="D22">
            <v>49101919.93</v>
          </cell>
          <cell r="E22">
            <v>49331507.32</v>
          </cell>
        </row>
        <row r="22">
          <cell r="G22">
            <v>130867494.36</v>
          </cell>
        </row>
        <row r="23">
          <cell r="A23" t="str">
            <v>Brahmanbaria</v>
          </cell>
          <cell r="B23">
            <v>37164455.26</v>
          </cell>
          <cell r="C23">
            <v>21580950.85</v>
          </cell>
          <cell r="D23">
            <v>26588352.29</v>
          </cell>
        </row>
        <row r="23">
          <cell r="G23">
            <v>98918239.06</v>
          </cell>
        </row>
        <row r="24">
          <cell r="A24" t="str">
            <v>C. Nawabganj</v>
          </cell>
          <cell r="B24">
            <v>22227874.76</v>
          </cell>
          <cell r="C24">
            <v>28980539.45</v>
          </cell>
          <cell r="D24">
            <v>13898520.78</v>
          </cell>
          <cell r="E24">
            <v>73258004.67</v>
          </cell>
        </row>
        <row r="24">
          <cell r="G24">
            <v>143811751.88</v>
          </cell>
        </row>
        <row r="25">
          <cell r="A25" t="str">
            <v>Chandina</v>
          </cell>
          <cell r="B25">
            <v>117916772.85</v>
          </cell>
          <cell r="C25">
            <v>15285366.64</v>
          </cell>
          <cell r="D25">
            <v>18059374.04</v>
          </cell>
        </row>
        <row r="25">
          <cell r="G25">
            <v>99338995.24</v>
          </cell>
        </row>
        <row r="26">
          <cell r="A26" t="str">
            <v>Chauddagram</v>
          </cell>
          <cell r="B26">
            <v>58456185.38</v>
          </cell>
          <cell r="C26">
            <v>10027098.08</v>
          </cell>
          <cell r="D26">
            <v>4119121.05</v>
          </cell>
        </row>
        <row r="26">
          <cell r="G26">
            <v>61673202.64</v>
          </cell>
        </row>
        <row r="27">
          <cell r="A27" t="str">
            <v>Chawk Bazar</v>
          </cell>
          <cell r="B27">
            <v>1738500.91</v>
          </cell>
          <cell r="C27">
            <v>137677494.02</v>
          </cell>
          <cell r="D27">
            <v>90439303.02</v>
          </cell>
          <cell r="E27">
            <v>104599752.84</v>
          </cell>
        </row>
        <row r="27">
          <cell r="G27">
            <v>276087632.27</v>
          </cell>
        </row>
        <row r="28">
          <cell r="A28" t="str">
            <v>Choumohoni</v>
          </cell>
          <cell r="B28">
            <v>28050763.89</v>
          </cell>
          <cell r="C28">
            <v>33422216.84</v>
          </cell>
          <cell r="D28">
            <v>25895965.01</v>
          </cell>
        </row>
        <row r="28">
          <cell r="G28">
            <v>113856927.9</v>
          </cell>
        </row>
        <row r="29">
          <cell r="A29" t="str">
            <v>Chuadanga</v>
          </cell>
          <cell r="B29">
            <v>14781739.42</v>
          </cell>
          <cell r="C29">
            <v>88028637.15</v>
          </cell>
          <cell r="D29">
            <v>77041704.05</v>
          </cell>
          <cell r="E29">
            <v>7446233.83</v>
          </cell>
        </row>
        <row r="29">
          <cell r="G29">
            <v>127134224.22</v>
          </cell>
        </row>
        <row r="30">
          <cell r="A30" t="str">
            <v>Comilla East</v>
          </cell>
          <cell r="B30">
            <v>39777792.74</v>
          </cell>
          <cell r="C30">
            <v>25737153.35</v>
          </cell>
          <cell r="D30">
            <v>31970373.47</v>
          </cell>
          <cell r="E30">
            <v>21068876.28</v>
          </cell>
        </row>
        <row r="30">
          <cell r="G30">
            <v>102572796.13</v>
          </cell>
        </row>
        <row r="31">
          <cell r="A31" t="str">
            <v>Comilla West</v>
          </cell>
          <cell r="B31">
            <v>28726942.32</v>
          </cell>
          <cell r="C31">
            <v>20044157.56</v>
          </cell>
          <cell r="D31">
            <v>17649047.27</v>
          </cell>
          <cell r="E31">
            <v>11946635.57</v>
          </cell>
        </row>
        <row r="31">
          <cell r="G31">
            <v>84832597.95</v>
          </cell>
        </row>
        <row r="32">
          <cell r="A32" t="str">
            <v>Companygonj</v>
          </cell>
          <cell r="B32">
            <v>73136961.3000001</v>
          </cell>
          <cell r="C32">
            <v>2851402.02</v>
          </cell>
          <cell r="D32">
            <v>3548653.37</v>
          </cell>
        </row>
        <row r="32">
          <cell r="G32">
            <v>29445846.28</v>
          </cell>
        </row>
        <row r="33">
          <cell r="A33" t="str">
            <v>Cox's Bazar</v>
          </cell>
          <cell r="B33">
            <v>12356127.21</v>
          </cell>
          <cell r="C33">
            <v>16143081.65</v>
          </cell>
          <cell r="D33">
            <v>9748858.57</v>
          </cell>
        </row>
        <row r="33">
          <cell r="G33">
            <v>60680400.18</v>
          </cell>
        </row>
        <row r="34">
          <cell r="A34" t="str">
            <v>Daulatpur</v>
          </cell>
          <cell r="B34">
            <v>8820365.56</v>
          </cell>
          <cell r="C34">
            <v>61193966.47</v>
          </cell>
          <cell r="D34">
            <v>23503857.86</v>
          </cell>
          <cell r="E34">
            <v>4462250.98</v>
          </cell>
        </row>
        <row r="34">
          <cell r="G34">
            <v>106547175.42</v>
          </cell>
        </row>
        <row r="35">
          <cell r="A35" t="str">
            <v>DEPZ</v>
          </cell>
          <cell r="B35">
            <v>6455439.32</v>
          </cell>
          <cell r="C35">
            <v>61405790.63</v>
          </cell>
          <cell r="D35">
            <v>17069943.77</v>
          </cell>
          <cell r="E35">
            <v>169250862.89</v>
          </cell>
        </row>
        <row r="35">
          <cell r="G35">
            <v>139513710.34</v>
          </cell>
        </row>
        <row r="36">
          <cell r="A36" t="str">
            <v>Dhamrai</v>
          </cell>
          <cell r="B36">
            <v>8260550.78</v>
          </cell>
          <cell r="C36">
            <v>19089098.79</v>
          </cell>
          <cell r="D36">
            <v>38237239.49</v>
          </cell>
          <cell r="E36">
            <v>12827007.26</v>
          </cell>
        </row>
        <row r="36">
          <cell r="G36">
            <v>66497148.07</v>
          </cell>
        </row>
        <row r="37">
          <cell r="A37" t="str">
            <v>Dinajpur</v>
          </cell>
          <cell r="B37">
            <v>20837205.34</v>
          </cell>
          <cell r="C37">
            <v>41984879.98</v>
          </cell>
          <cell r="D37">
            <v>69480716.82</v>
          </cell>
          <cell r="E37">
            <v>71915606.16</v>
          </cell>
        </row>
        <row r="37">
          <cell r="G37">
            <v>109240720.03</v>
          </cell>
        </row>
        <row r="38">
          <cell r="A38" t="str">
            <v>Elephant Road</v>
          </cell>
          <cell r="B38">
            <v>6545105.67</v>
          </cell>
          <cell r="C38">
            <v>85864490.97</v>
          </cell>
          <cell r="D38">
            <v>132645489.24</v>
          </cell>
          <cell r="E38">
            <v>151458911.86</v>
          </cell>
        </row>
        <row r="38">
          <cell r="G38">
            <v>196979978.74</v>
          </cell>
        </row>
        <row r="39">
          <cell r="A39" t="str">
            <v>Faridpur</v>
          </cell>
          <cell r="B39">
            <v>56806626.98</v>
          </cell>
          <cell r="C39">
            <v>19014445.16</v>
          </cell>
        </row>
        <row r="39">
          <cell r="G39">
            <v>94933035.45</v>
          </cell>
        </row>
        <row r="40">
          <cell r="A40" t="str">
            <v>Fatullah</v>
          </cell>
          <cell r="B40">
            <v>8365959.18</v>
          </cell>
          <cell r="C40">
            <v>31353956.5</v>
          </cell>
          <cell r="D40">
            <v>12212169.24</v>
          </cell>
          <cell r="E40">
            <v>10406794.02</v>
          </cell>
        </row>
        <row r="40">
          <cell r="G40">
            <v>91652023.08</v>
          </cell>
        </row>
        <row r="41">
          <cell r="A41" t="str">
            <v>Feni</v>
          </cell>
          <cell r="B41">
            <v>21390392.66</v>
          </cell>
          <cell r="C41">
            <v>67779242.8</v>
          </cell>
          <cell r="D41">
            <v>32213906.52</v>
          </cell>
          <cell r="E41">
            <v>35741689.57</v>
          </cell>
        </row>
        <row r="41">
          <cell r="G41">
            <v>132726228.88</v>
          </cell>
        </row>
        <row r="42">
          <cell r="A42" t="str">
            <v>Fulbari</v>
          </cell>
          <cell r="B42">
            <v>16514875.83</v>
          </cell>
          <cell r="C42">
            <v>33294603.51</v>
          </cell>
          <cell r="D42">
            <v>16246514.5</v>
          </cell>
        </row>
        <row r="42">
          <cell r="G42">
            <v>69187204.07</v>
          </cell>
        </row>
        <row r="43">
          <cell r="A43" t="str">
            <v>Gaibandha</v>
          </cell>
          <cell r="B43">
            <v>23409257.3</v>
          </cell>
          <cell r="C43">
            <v>17282374.37</v>
          </cell>
          <cell r="D43">
            <v>49724990.71</v>
          </cell>
          <cell r="E43">
            <v>33456423.55</v>
          </cell>
        </row>
        <row r="43">
          <cell r="G43">
            <v>116276101.04</v>
          </cell>
        </row>
        <row r="44">
          <cell r="A44" t="str">
            <v>Gazipur</v>
          </cell>
          <cell r="B44">
            <v>2056376.1</v>
          </cell>
          <cell r="C44">
            <v>74900163.95</v>
          </cell>
          <cell r="D44">
            <v>29855444.95</v>
          </cell>
          <cell r="E44">
            <v>86739942.45</v>
          </cell>
        </row>
        <row r="44">
          <cell r="G44">
            <v>223254660.07</v>
          </cell>
        </row>
        <row r="45">
          <cell r="A45" t="str">
            <v>Ghatail</v>
          </cell>
          <cell r="B45">
            <v>10995714.11</v>
          </cell>
          <cell r="C45">
            <v>9564454.93</v>
          </cell>
          <cell r="D45">
            <v>24615610.78</v>
          </cell>
          <cell r="E45">
            <v>13566471.29</v>
          </cell>
        </row>
        <row r="45">
          <cell r="G45">
            <v>54633358.31</v>
          </cell>
        </row>
        <row r="46">
          <cell r="A46" t="str">
            <v>Gopalgonj</v>
          </cell>
          <cell r="B46">
            <v>15653024.66</v>
          </cell>
          <cell r="C46">
            <v>32118514.13</v>
          </cell>
          <cell r="D46">
            <v>41389283.19</v>
          </cell>
          <cell r="E46">
            <v>40115123.48</v>
          </cell>
        </row>
        <row r="46">
          <cell r="G46">
            <v>100439297.68</v>
          </cell>
        </row>
        <row r="47">
          <cell r="A47" t="str">
            <v>Gulistan</v>
          </cell>
          <cell r="B47">
            <v>1527135.38</v>
          </cell>
          <cell r="C47">
            <v>80715960.68</v>
          </cell>
          <cell r="D47">
            <v>139237264.35</v>
          </cell>
          <cell r="E47">
            <v>77479552.31</v>
          </cell>
        </row>
        <row r="47">
          <cell r="G47">
            <v>221989526.79</v>
          </cell>
        </row>
        <row r="48">
          <cell r="A48" t="str">
            <v>Halishahar</v>
          </cell>
          <cell r="B48">
            <v>9993354.77</v>
          </cell>
          <cell r="C48">
            <v>66356326.91</v>
          </cell>
          <cell r="D48">
            <v>69514163.52</v>
          </cell>
          <cell r="E48">
            <v>29099826.27</v>
          </cell>
        </row>
        <row r="48">
          <cell r="G48">
            <v>179565726.95</v>
          </cell>
        </row>
        <row r="49">
          <cell r="A49" t="str">
            <v>Hasnabad</v>
          </cell>
          <cell r="B49">
            <v>13472169.6</v>
          </cell>
          <cell r="C49">
            <v>38471282.01</v>
          </cell>
          <cell r="D49">
            <v>33464712.13</v>
          </cell>
          <cell r="E49">
            <v>58397076.96</v>
          </cell>
        </row>
        <row r="49">
          <cell r="G49">
            <v>89489980.01</v>
          </cell>
        </row>
        <row r="50">
          <cell r="A50" t="str">
            <v>Hathazari</v>
          </cell>
          <cell r="B50">
            <v>13595125.15</v>
          </cell>
          <cell r="C50">
            <v>74388207.54</v>
          </cell>
          <cell r="D50">
            <v>34743307.22</v>
          </cell>
          <cell r="E50">
            <v>23362357.71</v>
          </cell>
        </row>
        <row r="50">
          <cell r="G50">
            <v>189626310.76</v>
          </cell>
        </row>
        <row r="51">
          <cell r="A51" t="str">
            <v>Hazigonj</v>
          </cell>
          <cell r="B51">
            <v>25657945.27</v>
          </cell>
          <cell r="C51">
            <v>41625692.2</v>
          </cell>
          <cell r="D51">
            <v>19314695.69</v>
          </cell>
          <cell r="E51">
            <v>11590888.78</v>
          </cell>
        </row>
        <row r="51">
          <cell r="G51">
            <v>118908766.51</v>
          </cell>
        </row>
        <row r="52">
          <cell r="A52" t="str">
            <v>Hobigonj</v>
          </cell>
          <cell r="B52">
            <v>114637795.53</v>
          </cell>
          <cell r="C52">
            <v>12444677.48</v>
          </cell>
          <cell r="D52">
            <v>987518.13</v>
          </cell>
        </row>
        <row r="52">
          <cell r="G52">
            <v>30544879.48</v>
          </cell>
        </row>
        <row r="53">
          <cell r="A53" t="str">
            <v>Imamgonj</v>
          </cell>
          <cell r="B53">
            <v>3347535.29</v>
          </cell>
          <cell r="C53">
            <v>83207772.93</v>
          </cell>
          <cell r="D53">
            <v>98005301.59</v>
          </cell>
          <cell r="E53">
            <v>103133664.03</v>
          </cell>
        </row>
        <row r="53">
          <cell r="G53">
            <v>131739871.96</v>
          </cell>
        </row>
        <row r="54">
          <cell r="A54" t="str">
            <v>Ishwardi</v>
          </cell>
          <cell r="B54">
            <v>10450073.25</v>
          </cell>
          <cell r="C54">
            <v>57676283.68</v>
          </cell>
          <cell r="D54">
            <v>94735226.8</v>
          </cell>
          <cell r="E54">
            <v>65456249.93</v>
          </cell>
        </row>
        <row r="54">
          <cell r="G54">
            <v>153644730.85</v>
          </cell>
        </row>
        <row r="55">
          <cell r="A55" t="str">
            <v>Islambagh</v>
          </cell>
          <cell r="B55">
            <v>5159248.5</v>
          </cell>
          <cell r="C55">
            <v>71541790.64</v>
          </cell>
          <cell r="D55">
            <v>89995691.58</v>
          </cell>
          <cell r="E55">
            <v>53523969.26</v>
          </cell>
        </row>
        <row r="55">
          <cell r="G55">
            <v>151922083.55</v>
          </cell>
        </row>
        <row r="56">
          <cell r="A56" t="str">
            <v>Islampur Road</v>
          </cell>
          <cell r="B56">
            <v>2660244.62</v>
          </cell>
          <cell r="C56">
            <v>107478378.9</v>
          </cell>
          <cell r="D56">
            <v>98447652.79</v>
          </cell>
          <cell r="E56">
            <v>80656714.33</v>
          </cell>
        </row>
        <row r="56">
          <cell r="G56">
            <v>280358143.73</v>
          </cell>
        </row>
        <row r="57">
          <cell r="A57" t="str">
            <v>Jamalpur</v>
          </cell>
          <cell r="B57">
            <v>3105506.82</v>
          </cell>
        </row>
        <row r="57">
          <cell r="G57">
            <v>38545491.14</v>
          </cell>
        </row>
        <row r="58">
          <cell r="A58" t="str">
            <v>Jatrabari</v>
          </cell>
          <cell r="B58">
            <v>4327894.78</v>
          </cell>
          <cell r="C58">
            <v>114175640.38</v>
          </cell>
          <cell r="D58">
            <v>51140499.4</v>
          </cell>
          <cell r="E58">
            <v>73124173.51</v>
          </cell>
        </row>
        <row r="58">
          <cell r="G58">
            <v>249469160.29</v>
          </cell>
        </row>
        <row r="59">
          <cell r="A59" t="str">
            <v>Jessore</v>
          </cell>
          <cell r="B59">
            <v>16408484.09</v>
          </cell>
          <cell r="C59">
            <v>98734282.7</v>
          </cell>
          <cell r="D59">
            <v>118931426.94</v>
          </cell>
          <cell r="E59">
            <v>26022432.08</v>
          </cell>
        </row>
        <row r="59">
          <cell r="G59">
            <v>258852348.23</v>
          </cell>
        </row>
        <row r="60">
          <cell r="A60" t="str">
            <v>Jhenaidah</v>
          </cell>
          <cell r="B60">
            <v>19720816.23</v>
          </cell>
          <cell r="C60">
            <v>39520529.03</v>
          </cell>
          <cell r="D60">
            <v>9923292.26</v>
          </cell>
          <cell r="E60">
            <v>24613947.9</v>
          </cell>
        </row>
        <row r="60">
          <cell r="G60">
            <v>171382557.56</v>
          </cell>
        </row>
        <row r="61">
          <cell r="A61" t="str">
            <v>Jikorgacha</v>
          </cell>
          <cell r="B61">
            <v>29023859.55</v>
          </cell>
          <cell r="C61">
            <v>23261857.48</v>
          </cell>
          <cell r="D61">
            <v>22499930.76</v>
          </cell>
          <cell r="E61">
            <v>5323331.79</v>
          </cell>
        </row>
        <row r="61">
          <cell r="G61">
            <v>141401427.67</v>
          </cell>
        </row>
        <row r="62">
          <cell r="A62" t="str">
            <v>Joydebpur</v>
          </cell>
          <cell r="B62">
            <v>4684108.15</v>
          </cell>
          <cell r="C62">
            <v>54081026.11</v>
          </cell>
          <cell r="D62">
            <v>25360110.54</v>
          </cell>
          <cell r="E62">
            <v>71531585.2</v>
          </cell>
        </row>
        <row r="62">
          <cell r="G62">
            <v>213594497.52</v>
          </cell>
        </row>
        <row r="63">
          <cell r="A63" t="str">
            <v>Joypurhat</v>
          </cell>
          <cell r="B63">
            <v>6917988.49</v>
          </cell>
          <cell r="C63">
            <v>14661636.79</v>
          </cell>
          <cell r="D63">
            <v>64131826.2</v>
          </cell>
          <cell r="E63">
            <v>58173332.15</v>
          </cell>
        </row>
        <row r="63">
          <cell r="G63">
            <v>74675264.02</v>
          </cell>
        </row>
        <row r="64">
          <cell r="A64" t="str">
            <v>Kadamtali</v>
          </cell>
          <cell r="B64">
            <v>1798733.12</v>
          </cell>
          <cell r="C64">
            <v>40284835.5</v>
          </cell>
          <cell r="D64">
            <v>36318807.92</v>
          </cell>
        </row>
        <row r="64">
          <cell r="G64">
            <v>166955856.36</v>
          </cell>
        </row>
        <row r="65">
          <cell r="A65" t="str">
            <v>Kaliakair</v>
          </cell>
        </row>
        <row r="65">
          <cell r="D65">
            <v>8000000</v>
          </cell>
        </row>
        <row r="66">
          <cell r="A66" t="str">
            <v>Kalurghat</v>
          </cell>
          <cell r="B66">
            <v>2164276.11</v>
          </cell>
          <cell r="C66">
            <v>53774969.17</v>
          </cell>
          <cell r="D66">
            <v>22110019.01</v>
          </cell>
          <cell r="E66">
            <v>26069026.84</v>
          </cell>
        </row>
        <row r="66">
          <cell r="G66">
            <v>153216277.86</v>
          </cell>
        </row>
        <row r="67">
          <cell r="A67" t="str">
            <v>Kamrangirchar</v>
          </cell>
          <cell r="B67">
            <v>18977755.07</v>
          </cell>
          <cell r="C67">
            <v>88356580.52</v>
          </cell>
          <cell r="D67">
            <v>54659009.42</v>
          </cell>
          <cell r="E67">
            <v>8447447.05</v>
          </cell>
        </row>
        <row r="67">
          <cell r="G67">
            <v>194892538.79</v>
          </cell>
        </row>
        <row r="68">
          <cell r="A68" t="str">
            <v>Kazipara</v>
          </cell>
          <cell r="B68">
            <v>5446539.87</v>
          </cell>
          <cell r="C68">
            <v>26109493.03</v>
          </cell>
          <cell r="D68">
            <v>59813463.82</v>
          </cell>
          <cell r="E68">
            <v>82292934</v>
          </cell>
        </row>
        <row r="68">
          <cell r="G68">
            <v>83817912.75</v>
          </cell>
        </row>
        <row r="69">
          <cell r="A69" t="str">
            <v>Keranigonj</v>
          </cell>
          <cell r="B69">
            <v>9551557.31</v>
          </cell>
          <cell r="C69">
            <v>65420654.05</v>
          </cell>
          <cell r="D69">
            <v>65245274.41</v>
          </cell>
          <cell r="E69">
            <v>20372462.86</v>
          </cell>
        </row>
        <row r="69">
          <cell r="G69">
            <v>194627274.25</v>
          </cell>
        </row>
        <row r="70">
          <cell r="A70" t="str">
            <v>Keshobpur</v>
          </cell>
          <cell r="B70">
            <v>27553000.14</v>
          </cell>
          <cell r="C70">
            <v>59558317.17</v>
          </cell>
          <cell r="D70">
            <v>21888290.88</v>
          </cell>
          <cell r="E70">
            <v>27101851.77</v>
          </cell>
        </row>
        <row r="70">
          <cell r="G70">
            <v>181149259.28</v>
          </cell>
        </row>
        <row r="71">
          <cell r="A71" t="str">
            <v>Khatungonj</v>
          </cell>
          <cell r="B71">
            <v>542321.66</v>
          </cell>
          <cell r="C71">
            <v>84811968.03</v>
          </cell>
          <cell r="D71">
            <v>101942792.54</v>
          </cell>
          <cell r="E71">
            <v>62099026.04</v>
          </cell>
        </row>
        <row r="71">
          <cell r="G71">
            <v>176768526.68</v>
          </cell>
        </row>
        <row r="72">
          <cell r="A72" t="str">
            <v>Khulna</v>
          </cell>
          <cell r="B72">
            <v>12002405.18</v>
          </cell>
          <cell r="C72">
            <v>152409603.69</v>
          </cell>
          <cell r="D72">
            <v>119380680.7</v>
          </cell>
          <cell r="E72">
            <v>70245460.54</v>
          </cell>
        </row>
        <row r="72">
          <cell r="G72">
            <v>261238768.17</v>
          </cell>
        </row>
        <row r="73">
          <cell r="A73" t="str">
            <v>Konabari</v>
          </cell>
          <cell r="B73">
            <v>5600706.16</v>
          </cell>
          <cell r="C73">
            <v>68430804.14</v>
          </cell>
          <cell r="D73">
            <v>27035996.69</v>
          </cell>
          <cell r="E73">
            <v>116617194.12</v>
          </cell>
        </row>
        <row r="73">
          <cell r="G73">
            <v>286143867.76</v>
          </cell>
        </row>
        <row r="74">
          <cell r="A74" t="str">
            <v>Kosba</v>
          </cell>
          <cell r="B74">
            <v>47314268</v>
          </cell>
          <cell r="C74">
            <v>5587907.28</v>
          </cell>
        </row>
        <row r="74">
          <cell r="G74">
            <v>36829384.93</v>
          </cell>
        </row>
        <row r="75">
          <cell r="A75" t="str">
            <v>Kotiadi</v>
          </cell>
          <cell r="B75">
            <v>62748936.67</v>
          </cell>
        </row>
        <row r="75">
          <cell r="G75">
            <v>36721519.58</v>
          </cell>
        </row>
        <row r="76">
          <cell r="A76" t="str">
            <v>Kulaura </v>
          </cell>
          <cell r="B76">
            <v>74025922.93</v>
          </cell>
        </row>
        <row r="77">
          <cell r="A77" t="str">
            <v>Kurigram</v>
          </cell>
          <cell r="B77">
            <v>76018844.7200001</v>
          </cell>
          <cell r="C77">
            <v>28796791</v>
          </cell>
          <cell r="D77">
            <v>23829341.54</v>
          </cell>
          <cell r="E77">
            <v>15000000</v>
          </cell>
        </row>
        <row r="77">
          <cell r="G77">
            <v>95603171.25</v>
          </cell>
        </row>
        <row r="78">
          <cell r="A78" t="str">
            <v>Kushtia</v>
          </cell>
          <cell r="B78">
            <v>10882700.17</v>
          </cell>
          <cell r="C78">
            <v>43390848.09</v>
          </cell>
          <cell r="D78">
            <v>50793341.91</v>
          </cell>
          <cell r="E78">
            <v>43654566.19</v>
          </cell>
        </row>
        <row r="78">
          <cell r="G78">
            <v>184273809.15</v>
          </cell>
        </row>
        <row r="79">
          <cell r="A79" t="str">
            <v>Laksham</v>
          </cell>
          <cell r="B79">
            <v>57932194.29</v>
          </cell>
          <cell r="C79">
            <v>14337802.38</v>
          </cell>
        </row>
        <row r="79">
          <cell r="G79">
            <v>53027898.78</v>
          </cell>
        </row>
        <row r="80">
          <cell r="A80" t="str">
            <v>Laxmipur</v>
          </cell>
          <cell r="B80">
            <v>21379489.5</v>
          </cell>
          <cell r="C80">
            <v>24303384.7</v>
          </cell>
          <cell r="D80">
            <v>6488006.67</v>
          </cell>
          <cell r="E80">
            <v>14602362.29</v>
          </cell>
        </row>
        <row r="80">
          <cell r="G80">
            <v>70739117.51</v>
          </cell>
        </row>
        <row r="81">
          <cell r="A81" t="str">
            <v>Lohagora, CTG</v>
          </cell>
          <cell r="B81">
            <v>24766178.31</v>
          </cell>
          <cell r="C81">
            <v>19416002.08</v>
          </cell>
          <cell r="D81">
            <v>7216736.88</v>
          </cell>
          <cell r="E81">
            <v>11510315.63</v>
          </cell>
        </row>
        <row r="81">
          <cell r="G81">
            <v>116741434.4</v>
          </cell>
        </row>
        <row r="82">
          <cell r="A82" t="str">
            <v>Madhabpur</v>
          </cell>
          <cell r="B82">
            <v>78622633.95</v>
          </cell>
          <cell r="C82">
            <v>24033561.57</v>
          </cell>
        </row>
        <row r="82">
          <cell r="G82">
            <v>71105126.51</v>
          </cell>
        </row>
        <row r="83">
          <cell r="A83" t="str">
            <v>Magura</v>
          </cell>
          <cell r="B83">
            <v>25658646.67</v>
          </cell>
          <cell r="C83">
            <v>2950580.26</v>
          </cell>
        </row>
        <row r="83">
          <cell r="G83">
            <v>90963255.44</v>
          </cell>
        </row>
        <row r="84">
          <cell r="A84" t="str">
            <v>Maijdee</v>
          </cell>
          <cell r="B84">
            <v>60150591.03</v>
          </cell>
          <cell r="C84">
            <v>4577563.33</v>
          </cell>
        </row>
        <row r="84">
          <cell r="E84">
            <v>38457721.4</v>
          </cell>
        </row>
        <row r="84">
          <cell r="G84">
            <v>100672772.57</v>
          </cell>
        </row>
        <row r="85">
          <cell r="A85" t="str">
            <v>Manikgonj</v>
          </cell>
          <cell r="B85">
            <v>16087052.08</v>
          </cell>
          <cell r="C85">
            <v>12364768.01</v>
          </cell>
          <cell r="D85">
            <v>7343066.46</v>
          </cell>
        </row>
        <row r="85">
          <cell r="G85">
            <v>22721915.98</v>
          </cell>
        </row>
        <row r="86">
          <cell r="A86" t="str">
            <v>Mirpur</v>
          </cell>
          <cell r="B86">
            <v>5477773.61</v>
          </cell>
          <cell r="C86">
            <v>137900183.35</v>
          </cell>
          <cell r="D86">
            <v>124303468.47</v>
          </cell>
          <cell r="E86">
            <v>162337828.7</v>
          </cell>
        </row>
        <row r="86">
          <cell r="G86">
            <v>274092319.89</v>
          </cell>
        </row>
        <row r="87">
          <cell r="A87" t="str">
            <v>Moghbazar</v>
          </cell>
          <cell r="B87">
            <v>2993566.97</v>
          </cell>
          <cell r="C87">
            <v>114491473.98</v>
          </cell>
          <cell r="D87">
            <v>97031760.71</v>
          </cell>
          <cell r="E87">
            <v>141740534.38</v>
          </cell>
        </row>
        <row r="87">
          <cell r="G87">
            <v>184098757.94</v>
          </cell>
        </row>
        <row r="88">
          <cell r="A88" t="str">
            <v>Mohammadpur</v>
          </cell>
          <cell r="B88">
            <v>6215598.96</v>
          </cell>
          <cell r="C88">
            <v>47325839.18</v>
          </cell>
          <cell r="D88">
            <v>34102622.3</v>
          </cell>
        </row>
        <row r="88">
          <cell r="G88">
            <v>214761517.27</v>
          </cell>
        </row>
        <row r="89">
          <cell r="A89" t="str">
            <v>Mymensingh</v>
          </cell>
          <cell r="B89">
            <v>4021086.89</v>
          </cell>
          <cell r="C89">
            <v>41921593.54</v>
          </cell>
          <cell r="D89">
            <v>23491142.41</v>
          </cell>
          <cell r="E89">
            <v>75264039.64</v>
          </cell>
        </row>
        <row r="89">
          <cell r="G89">
            <v>270722291.11</v>
          </cell>
        </row>
        <row r="90">
          <cell r="A90" t="str">
            <v>Nangolkot</v>
          </cell>
          <cell r="B90">
            <v>124556430.45</v>
          </cell>
        </row>
        <row r="90">
          <cell r="G90">
            <v>23635938.79</v>
          </cell>
        </row>
        <row r="91">
          <cell r="A91" t="str">
            <v>Naogaon</v>
          </cell>
          <cell r="B91">
            <v>29411233.98</v>
          </cell>
          <cell r="C91">
            <v>55513307.33</v>
          </cell>
          <cell r="D91">
            <v>50107955.93</v>
          </cell>
          <cell r="E91">
            <v>130590508.6</v>
          </cell>
        </row>
        <row r="91">
          <cell r="G91">
            <v>148152215.31</v>
          </cell>
        </row>
        <row r="92">
          <cell r="A92" t="str">
            <v>Narail</v>
          </cell>
          <cell r="B92">
            <v>28935659.19</v>
          </cell>
          <cell r="C92">
            <v>26131381.87</v>
          </cell>
          <cell r="D92">
            <v>10173290.53</v>
          </cell>
          <cell r="E92">
            <v>11390781.19</v>
          </cell>
        </row>
        <row r="92">
          <cell r="G92">
            <v>104014380.4</v>
          </cell>
        </row>
        <row r="93">
          <cell r="A93" t="str">
            <v>Narayangonj</v>
          </cell>
          <cell r="B93">
            <v>8176734.14</v>
          </cell>
          <cell r="C93">
            <v>72626976.92</v>
          </cell>
          <cell r="D93">
            <v>72874875.85</v>
          </cell>
          <cell r="E93">
            <v>99474907.82</v>
          </cell>
        </row>
        <row r="93">
          <cell r="G93">
            <v>167928960.14</v>
          </cell>
        </row>
        <row r="94">
          <cell r="A94" t="str">
            <v>Narsingdi</v>
          </cell>
          <cell r="B94">
            <v>29689576.95</v>
          </cell>
          <cell r="C94">
            <v>71929795.81</v>
          </cell>
          <cell r="D94">
            <v>129495971.99</v>
          </cell>
          <cell r="E94">
            <v>95617757.33</v>
          </cell>
        </row>
        <row r="94">
          <cell r="G94">
            <v>297635491.83</v>
          </cell>
        </row>
        <row r="95">
          <cell r="A95" t="str">
            <v>Nawabgonj</v>
          </cell>
          <cell r="B95">
            <v>70716323.14</v>
          </cell>
          <cell r="C95">
            <v>2114463.21</v>
          </cell>
        </row>
        <row r="95">
          <cell r="G95">
            <v>74294669.19</v>
          </cell>
        </row>
        <row r="96">
          <cell r="A96" t="str">
            <v>Nawabpur</v>
          </cell>
          <cell r="B96">
            <v>2267935.58</v>
          </cell>
          <cell r="C96">
            <v>55091603.32</v>
          </cell>
          <cell r="D96">
            <v>112924265.19</v>
          </cell>
          <cell r="E96">
            <v>85783517.03</v>
          </cell>
        </row>
        <row r="96">
          <cell r="G96">
            <v>227621185</v>
          </cell>
        </row>
        <row r="97">
          <cell r="A97" t="str">
            <v>Nondon Kanon</v>
          </cell>
          <cell r="B97">
            <v>6035712.42</v>
          </cell>
          <cell r="C97">
            <v>101786878.3</v>
          </cell>
          <cell r="D97">
            <v>75552297.63</v>
          </cell>
          <cell r="E97">
            <v>45830537.51</v>
          </cell>
        </row>
        <row r="97">
          <cell r="G97">
            <v>273864950.73</v>
          </cell>
        </row>
        <row r="98">
          <cell r="A98" t="str">
            <v>Pabna</v>
          </cell>
          <cell r="B98">
            <v>21509909.89</v>
          </cell>
          <cell r="C98">
            <v>57940967.67</v>
          </cell>
          <cell r="D98">
            <v>80095591.08</v>
          </cell>
          <cell r="E98">
            <v>72852336.08</v>
          </cell>
        </row>
        <row r="98">
          <cell r="G98">
            <v>213449824.43</v>
          </cell>
        </row>
        <row r="99">
          <cell r="A99" t="str">
            <v>Pahartali</v>
          </cell>
          <cell r="B99">
            <v>13557394.53</v>
          </cell>
          <cell r="C99">
            <v>87383524.24</v>
          </cell>
          <cell r="D99">
            <v>32158343.69</v>
          </cell>
        </row>
        <row r="99">
          <cell r="G99">
            <v>196215186.89</v>
          </cell>
        </row>
        <row r="100">
          <cell r="A100" t="str">
            <v>Panchaghar</v>
          </cell>
          <cell r="B100">
            <v>26026087.81</v>
          </cell>
          <cell r="C100">
            <v>6332704.23</v>
          </cell>
          <cell r="D100">
            <v>2180947.71</v>
          </cell>
        </row>
        <row r="100">
          <cell r="G100">
            <v>100773081.21</v>
          </cell>
        </row>
        <row r="101">
          <cell r="A101" t="str">
            <v>Patuakhali</v>
          </cell>
          <cell r="B101">
            <v>26748565.6</v>
          </cell>
          <cell r="C101">
            <v>33432480</v>
          </cell>
          <cell r="D101">
            <v>8003924.68</v>
          </cell>
        </row>
        <row r="101">
          <cell r="G101">
            <v>152351596.93</v>
          </cell>
        </row>
        <row r="102">
          <cell r="A102" t="str">
            <v>Potiya</v>
          </cell>
          <cell r="B102">
            <v>18069454.04</v>
          </cell>
          <cell r="C102">
            <v>14044519.33</v>
          </cell>
          <cell r="D102">
            <v>21765208.61</v>
          </cell>
        </row>
        <row r="102">
          <cell r="G102">
            <v>125054948.26</v>
          </cell>
        </row>
        <row r="103">
          <cell r="A103" t="str">
            <v>Rajbari</v>
          </cell>
          <cell r="B103">
            <v>39125275.9</v>
          </cell>
          <cell r="C103">
            <v>39118684.45</v>
          </cell>
          <cell r="D103">
            <v>9594335.24</v>
          </cell>
          <cell r="E103">
            <v>8376263.91</v>
          </cell>
        </row>
        <row r="103">
          <cell r="G103">
            <v>74899717.42</v>
          </cell>
        </row>
        <row r="104">
          <cell r="A104" t="str">
            <v>Rajshahi</v>
          </cell>
          <cell r="B104">
            <v>14990510.68</v>
          </cell>
          <cell r="C104">
            <v>68349228.57</v>
          </cell>
          <cell r="D104">
            <v>57331979.76</v>
          </cell>
          <cell r="E104">
            <v>29117649.66</v>
          </cell>
        </row>
        <row r="104">
          <cell r="G104">
            <v>295794041.76</v>
          </cell>
        </row>
        <row r="105">
          <cell r="A105" t="str">
            <v>Rangpur</v>
          </cell>
          <cell r="B105">
            <v>29500458.46</v>
          </cell>
          <cell r="C105">
            <v>30591366.25</v>
          </cell>
          <cell r="D105">
            <v>28138930.69</v>
          </cell>
          <cell r="E105">
            <v>150379989.53</v>
          </cell>
        </row>
        <row r="105">
          <cell r="G105">
            <v>129406236.83</v>
          </cell>
        </row>
        <row r="106">
          <cell r="A106" t="str">
            <v>Sathkhira</v>
          </cell>
          <cell r="B106">
            <v>10264216.93</v>
          </cell>
          <cell r="C106">
            <v>12218540.63</v>
          </cell>
        </row>
        <row r="106">
          <cell r="G106">
            <v>30016588.84</v>
          </cell>
        </row>
        <row r="107">
          <cell r="A107" t="str">
            <v>Savar</v>
          </cell>
          <cell r="B107">
            <v>4844664.77</v>
          </cell>
          <cell r="C107">
            <v>58339471.84</v>
          </cell>
          <cell r="D107">
            <v>78829365.36</v>
          </cell>
          <cell r="E107">
            <v>35113503.38</v>
          </cell>
        </row>
        <row r="107">
          <cell r="G107">
            <v>131850139.03</v>
          </cell>
        </row>
        <row r="108">
          <cell r="A108" t="str">
            <v>Savar-2</v>
          </cell>
          <cell r="B108">
            <v>10515206.07</v>
          </cell>
          <cell r="C108">
            <v>41404879.72</v>
          </cell>
          <cell r="D108">
            <v>49528684.2</v>
          </cell>
          <cell r="E108">
            <v>212477353.93</v>
          </cell>
        </row>
        <row r="108">
          <cell r="G108">
            <v>90633567.67</v>
          </cell>
        </row>
        <row r="109">
          <cell r="A109" t="str">
            <v>Shaheshtagonj</v>
          </cell>
          <cell r="B109">
            <v>152498931.73</v>
          </cell>
        </row>
        <row r="109">
          <cell r="G109">
            <v>30841131.04</v>
          </cell>
        </row>
        <row r="110">
          <cell r="A110" t="str">
            <v>Shambazar</v>
          </cell>
          <cell r="B110">
            <v>2848721.57</v>
          </cell>
          <cell r="C110">
            <v>141782397.67</v>
          </cell>
          <cell r="D110">
            <v>97470445.5</v>
          </cell>
          <cell r="E110">
            <v>86640651.38</v>
          </cell>
        </row>
        <row r="110">
          <cell r="G110">
            <v>344782034.37</v>
          </cell>
        </row>
        <row r="111">
          <cell r="A111" t="str">
            <v>Shariatpur</v>
          </cell>
          <cell r="B111">
            <v>12867777.48</v>
          </cell>
          <cell r="C111">
            <v>51628608.56</v>
          </cell>
          <cell r="D111">
            <v>13839695.89</v>
          </cell>
          <cell r="E111">
            <v>101302329.36</v>
          </cell>
        </row>
        <row r="111">
          <cell r="G111">
            <v>130667169.4</v>
          </cell>
        </row>
        <row r="112">
          <cell r="A112" t="str">
            <v>Sherpur</v>
          </cell>
        </row>
        <row r="112">
          <cell r="C112">
            <v>14067569.85</v>
          </cell>
          <cell r="D112">
            <v>7589278.21</v>
          </cell>
          <cell r="E112">
            <v>8372877.47</v>
          </cell>
        </row>
        <row r="112">
          <cell r="G112">
            <v>75042232.13</v>
          </cell>
        </row>
        <row r="113">
          <cell r="A113" t="str">
            <v>Shiddirgonj</v>
          </cell>
          <cell r="B113">
            <v>7469529.5</v>
          </cell>
          <cell r="C113">
            <v>48859067.12</v>
          </cell>
          <cell r="D113">
            <v>53749183.06</v>
          </cell>
          <cell r="E113">
            <v>12141187.47</v>
          </cell>
        </row>
        <row r="113">
          <cell r="G113">
            <v>209438505.03</v>
          </cell>
        </row>
        <row r="114">
          <cell r="A114" t="str">
            <v>Sirajgonj</v>
          </cell>
          <cell r="B114">
            <v>20760539.44</v>
          </cell>
          <cell r="C114">
            <v>44245050.24</v>
          </cell>
          <cell r="D114">
            <v>88751988.27</v>
          </cell>
        </row>
        <row r="114">
          <cell r="G114">
            <v>144971527.62</v>
          </cell>
        </row>
        <row r="115">
          <cell r="A115" t="str">
            <v>Sonir Akhra</v>
          </cell>
          <cell r="B115">
            <v>1903722.7</v>
          </cell>
          <cell r="C115">
            <v>44528534.35</v>
          </cell>
          <cell r="D115">
            <v>96734376.37</v>
          </cell>
          <cell r="E115">
            <v>92566389.75</v>
          </cell>
        </row>
        <row r="115">
          <cell r="G115">
            <v>139402697.72</v>
          </cell>
        </row>
        <row r="116">
          <cell r="A116" t="str">
            <v>South Surma</v>
          </cell>
          <cell r="B116">
            <v>16685420.74</v>
          </cell>
          <cell r="C116">
            <v>36067669.68</v>
          </cell>
          <cell r="D116">
            <v>22676620.06</v>
          </cell>
        </row>
        <row r="116">
          <cell r="G116">
            <v>39303405.85</v>
          </cell>
        </row>
        <row r="117">
          <cell r="A117" t="str">
            <v>Sreenagar</v>
          </cell>
          <cell r="B117">
            <v>44291445.16</v>
          </cell>
        </row>
        <row r="117">
          <cell r="G117">
            <v>17363335.74</v>
          </cell>
        </row>
        <row r="118">
          <cell r="A118" t="str">
            <v>Sreepur</v>
          </cell>
          <cell r="B118">
            <v>4902759.55</v>
          </cell>
          <cell r="C118">
            <v>76593412.38</v>
          </cell>
          <cell r="D118">
            <v>37992837.48</v>
          </cell>
          <cell r="E118">
            <v>134914290.86</v>
          </cell>
        </row>
        <row r="118">
          <cell r="G118">
            <v>273658222.33</v>
          </cell>
        </row>
        <row r="119">
          <cell r="A119" t="str">
            <v>Swarupkathi</v>
          </cell>
          <cell r="B119">
            <v>36393834.78</v>
          </cell>
          <cell r="C119">
            <v>12042390.47</v>
          </cell>
        </row>
        <row r="119">
          <cell r="G119">
            <v>77415207.6</v>
          </cell>
        </row>
        <row r="120">
          <cell r="A120" t="str">
            <v>Syedpur</v>
          </cell>
          <cell r="B120">
            <v>19809192.72</v>
          </cell>
          <cell r="C120">
            <v>19249523.63</v>
          </cell>
          <cell r="D120">
            <v>15285350.15</v>
          </cell>
          <cell r="E120">
            <v>12757822.11</v>
          </cell>
        </row>
        <row r="120">
          <cell r="G120">
            <v>117777140</v>
          </cell>
        </row>
        <row r="121">
          <cell r="A121" t="str">
            <v>Tangail</v>
          </cell>
          <cell r="B121">
            <v>24550445.91</v>
          </cell>
          <cell r="C121">
            <v>35336393.22</v>
          </cell>
          <cell r="D121">
            <v>51965163.95</v>
          </cell>
          <cell r="E121">
            <v>9154280.98</v>
          </cell>
        </row>
        <row r="121">
          <cell r="G121">
            <v>95759584.32</v>
          </cell>
        </row>
        <row r="122">
          <cell r="A122" t="str">
            <v>Thakurgaon</v>
          </cell>
          <cell r="B122">
            <v>17507899.21</v>
          </cell>
          <cell r="C122">
            <v>25391659.78</v>
          </cell>
          <cell r="D122">
            <v>26752271.27</v>
          </cell>
          <cell r="E122">
            <v>20077658.31</v>
          </cell>
        </row>
        <row r="122">
          <cell r="G122">
            <v>122781482.38</v>
          </cell>
        </row>
        <row r="123">
          <cell r="A123" t="str">
            <v>Tongi</v>
          </cell>
          <cell r="B123">
            <v>14152287.18</v>
          </cell>
          <cell r="C123">
            <v>38211282.42</v>
          </cell>
          <cell r="D123">
            <v>18314780.89</v>
          </cell>
          <cell r="E123">
            <v>98851467.42</v>
          </cell>
        </row>
        <row r="123">
          <cell r="G123">
            <v>195227940.42</v>
          </cell>
        </row>
        <row r="124">
          <cell r="A124" t="str">
            <v>Zinzira</v>
          </cell>
          <cell r="B124">
            <v>18300342.61</v>
          </cell>
          <cell r="C124">
            <v>64729583.32</v>
          </cell>
          <cell r="D124">
            <v>53109349.83</v>
          </cell>
          <cell r="E124">
            <v>8957753.41</v>
          </cell>
        </row>
        <row r="124">
          <cell r="G124">
            <v>112583541.78</v>
          </cell>
        </row>
        <row r="125">
          <cell r="A125" t="str">
            <v>Zurain</v>
          </cell>
        </row>
        <row r="125">
          <cell r="G125">
            <v>6500000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4" t="str">
            <v>Agailjhara</v>
          </cell>
          <cell r="B4">
            <v>10864751.84</v>
          </cell>
          <cell r="C4">
            <v>9398521.72</v>
          </cell>
          <cell r="D4">
            <v>9377547.94</v>
          </cell>
        </row>
        <row r="5">
          <cell r="A5" t="str">
            <v>Ambarkhana</v>
          </cell>
          <cell r="B5">
            <v>8441544.91</v>
          </cell>
          <cell r="C5">
            <v>8266131.08</v>
          </cell>
          <cell r="D5">
            <v>8232068.94</v>
          </cell>
        </row>
        <row r="6">
          <cell r="A6" t="str">
            <v>Anderkilla</v>
          </cell>
          <cell r="B6">
            <v>12376854.52</v>
          </cell>
          <cell r="C6">
            <v>11873368.16</v>
          </cell>
          <cell r="D6">
            <v>11597864.39</v>
          </cell>
        </row>
        <row r="7">
          <cell r="A7" t="str">
            <v>Ashulia</v>
          </cell>
          <cell r="B7">
            <v>1850093.09</v>
          </cell>
          <cell r="C7">
            <v>1846730.19</v>
          </cell>
          <cell r="D7">
            <v>1845413.91</v>
          </cell>
        </row>
        <row r="8">
          <cell r="A8" t="str">
            <v>Badda</v>
          </cell>
          <cell r="B8">
            <v>9903095.25</v>
          </cell>
          <cell r="C8">
            <v>9550463.57</v>
          </cell>
          <cell r="D8">
            <v>8209262.2</v>
          </cell>
        </row>
        <row r="9">
          <cell r="A9" t="str">
            <v>Bagerhat</v>
          </cell>
          <cell r="B9">
            <v>7763400.03</v>
          </cell>
          <cell r="C9">
            <v>7380467.93</v>
          </cell>
          <cell r="D9">
            <v>7195434.5</v>
          </cell>
        </row>
        <row r="10">
          <cell r="A10" t="str">
            <v>Baligaon</v>
          </cell>
          <cell r="B10">
            <v>4861988.84</v>
          </cell>
          <cell r="C10">
            <v>4854331.91</v>
          </cell>
          <cell r="D10">
            <v>4849235.25</v>
          </cell>
        </row>
        <row r="11">
          <cell r="A11" t="str">
            <v>Banasree</v>
          </cell>
          <cell r="B11">
            <v>8755906</v>
          </cell>
          <cell r="C11">
            <v>8394281.58</v>
          </cell>
          <cell r="D11">
            <v>8338238.82</v>
          </cell>
        </row>
        <row r="12">
          <cell r="A12" t="str">
            <v>Bancharampur</v>
          </cell>
          <cell r="B12">
            <v>5651854.62</v>
          </cell>
          <cell r="C12">
            <v>5490335.64</v>
          </cell>
          <cell r="D12">
            <v>5425560.99</v>
          </cell>
        </row>
        <row r="13">
          <cell r="A13" t="str">
            <v>Bandartila </v>
          </cell>
          <cell r="B13">
            <v>5366765.21</v>
          </cell>
          <cell r="C13">
            <v>5194819.89</v>
          </cell>
          <cell r="D13">
            <v>5050268.49</v>
          </cell>
        </row>
        <row r="14">
          <cell r="A14" t="str">
            <v>Barguna</v>
          </cell>
          <cell r="B14">
            <v>4364067.35</v>
          </cell>
          <cell r="C14">
            <v>4074406.03</v>
          </cell>
          <cell r="D14">
            <v>4070117.85</v>
          </cell>
        </row>
        <row r="15">
          <cell r="A15" t="str">
            <v>Barishal</v>
          </cell>
          <cell r="B15">
            <v>10254447.8</v>
          </cell>
          <cell r="C15">
            <v>10157745.82</v>
          </cell>
          <cell r="D15">
            <v>9939889.3</v>
          </cell>
        </row>
        <row r="16">
          <cell r="A16" t="str">
            <v>Bhanga</v>
          </cell>
          <cell r="B16">
            <v>12307518.19</v>
          </cell>
          <cell r="C16">
            <v>12244740.13</v>
          </cell>
          <cell r="D16">
            <v>12183699.16</v>
          </cell>
        </row>
        <row r="17">
          <cell r="A17" t="str">
            <v>Bharaib</v>
          </cell>
          <cell r="B17">
            <v>7956885.9</v>
          </cell>
          <cell r="C17">
            <v>7773056.02</v>
          </cell>
          <cell r="D17">
            <v>7620256.09</v>
          </cell>
        </row>
        <row r="18">
          <cell r="A18" t="str">
            <v>Bheramara</v>
          </cell>
          <cell r="B18">
            <v>6733847.1</v>
          </cell>
          <cell r="C18">
            <v>6702533.61</v>
          </cell>
          <cell r="D18">
            <v>6648668.94</v>
          </cell>
        </row>
        <row r="19">
          <cell r="A19" t="str">
            <v>Bhola</v>
          </cell>
          <cell r="B19">
            <v>4265228.32</v>
          </cell>
          <cell r="C19">
            <v>4111553.57</v>
          </cell>
          <cell r="D19">
            <v>4084221.87</v>
          </cell>
        </row>
        <row r="20">
          <cell r="A20" t="str">
            <v>Bhulta</v>
          </cell>
          <cell r="B20">
            <v>6913888.64</v>
          </cell>
          <cell r="C20">
            <v>6753059.96</v>
          </cell>
          <cell r="D20">
            <v>6736930.79</v>
          </cell>
        </row>
        <row r="21">
          <cell r="A21" t="str">
            <v>Bogura</v>
          </cell>
          <cell r="B21">
            <v>11896266.95</v>
          </cell>
          <cell r="C21">
            <v>10476633.54</v>
          </cell>
          <cell r="D21">
            <v>10459625.89</v>
          </cell>
        </row>
        <row r="22">
          <cell r="A22" t="str">
            <v>Brahmanbaria</v>
          </cell>
          <cell r="B22">
            <v>10092741.76</v>
          </cell>
          <cell r="C22">
            <v>9696980.28</v>
          </cell>
          <cell r="D22">
            <v>9371075.73</v>
          </cell>
        </row>
        <row r="23">
          <cell r="A23" t="str">
            <v>C. Nawabganj</v>
          </cell>
          <cell r="B23">
            <v>10241164.54</v>
          </cell>
          <cell r="C23">
            <v>10253483.01</v>
          </cell>
          <cell r="D23">
            <v>10241164.54</v>
          </cell>
        </row>
        <row r="24">
          <cell r="A24" t="str">
            <v>Chandina</v>
          </cell>
          <cell r="B24">
            <v>14849651.45</v>
          </cell>
          <cell r="C24">
            <v>14414314.15</v>
          </cell>
          <cell r="D24">
            <v>14313261.26</v>
          </cell>
        </row>
        <row r="25">
          <cell r="A25" t="str">
            <v>Chauddagram</v>
          </cell>
          <cell r="B25">
            <v>10759227.55</v>
          </cell>
          <cell r="C25">
            <v>10233897.17</v>
          </cell>
          <cell r="D25">
            <v>10226120.52</v>
          </cell>
        </row>
        <row r="26">
          <cell r="A26" t="str">
            <v>Chawk Bazar</v>
          </cell>
          <cell r="B26">
            <v>18554925.84</v>
          </cell>
          <cell r="C26">
            <v>14856540.01</v>
          </cell>
          <cell r="D26">
            <v>14699025.97</v>
          </cell>
        </row>
        <row r="27">
          <cell r="A27" t="str">
            <v>Choumohoni</v>
          </cell>
          <cell r="B27">
            <v>9516615.01</v>
          </cell>
          <cell r="C27">
            <v>8761254.51</v>
          </cell>
          <cell r="D27">
            <v>8371917.07</v>
          </cell>
        </row>
        <row r="28">
          <cell r="A28" t="str">
            <v>Chuadanga</v>
          </cell>
          <cell r="B28">
            <v>12075158.61</v>
          </cell>
          <cell r="C28">
            <v>10739868.56</v>
          </cell>
          <cell r="D28">
            <v>10652971.64</v>
          </cell>
        </row>
        <row r="29">
          <cell r="A29" t="str">
            <v>Comilla East</v>
          </cell>
          <cell r="B29">
            <v>10299570.49</v>
          </cell>
          <cell r="C29">
            <v>10059591.56</v>
          </cell>
          <cell r="D29">
            <v>10050946.89</v>
          </cell>
        </row>
        <row r="30">
          <cell r="A30" t="str">
            <v>Comilla West</v>
          </cell>
          <cell r="B30">
            <v>4976359.97</v>
          </cell>
          <cell r="C30">
            <v>4557708.57</v>
          </cell>
          <cell r="D30">
            <v>4552538.2</v>
          </cell>
        </row>
        <row r="31">
          <cell r="A31" t="str">
            <v>Companygonj</v>
          </cell>
          <cell r="B31">
            <v>11290545.05</v>
          </cell>
          <cell r="C31">
            <v>11248890.24</v>
          </cell>
          <cell r="D31">
            <v>11092244.2</v>
          </cell>
        </row>
        <row r="32">
          <cell r="A32" t="str">
            <v>Cox's Bazar</v>
          </cell>
          <cell r="B32">
            <v>4029100.14</v>
          </cell>
          <cell r="C32">
            <v>3402456.25</v>
          </cell>
          <cell r="D32">
            <v>3399008.65</v>
          </cell>
        </row>
        <row r="33">
          <cell r="A33" t="str">
            <v>Daulatpur</v>
          </cell>
          <cell r="B33">
            <v>9404331.58</v>
          </cell>
          <cell r="C33">
            <v>7950342.08</v>
          </cell>
          <cell r="D33">
            <v>7844592.61</v>
          </cell>
        </row>
        <row r="34">
          <cell r="A34" t="str">
            <v>DEPZ</v>
          </cell>
          <cell r="B34">
            <v>3616050.14</v>
          </cell>
          <cell r="C34">
            <v>3097910.21</v>
          </cell>
          <cell r="D34">
            <v>3081705.58</v>
          </cell>
        </row>
        <row r="35">
          <cell r="A35" t="str">
            <v>Dhamrai</v>
          </cell>
          <cell r="B35">
            <v>3408336.27</v>
          </cell>
          <cell r="C35">
            <v>2991311.9</v>
          </cell>
          <cell r="D35">
            <v>2882358.81</v>
          </cell>
        </row>
        <row r="36">
          <cell r="A36" t="str">
            <v>Dinajpur</v>
          </cell>
          <cell r="B36">
            <v>7000345.2</v>
          </cell>
          <cell r="C36">
            <v>6944800.72</v>
          </cell>
          <cell r="D36">
            <v>6836127.81</v>
          </cell>
        </row>
        <row r="37">
          <cell r="A37" t="str">
            <v>Elephant Road</v>
          </cell>
          <cell r="B37">
            <v>18554968.26</v>
          </cell>
          <cell r="C37">
            <v>10124187.95</v>
          </cell>
          <cell r="D37">
            <v>10003180.86</v>
          </cell>
        </row>
        <row r="38">
          <cell r="A38" t="str">
            <v>Faridpur</v>
          </cell>
          <cell r="B38">
            <v>9477289.56</v>
          </cell>
          <cell r="C38">
            <v>8762651.44</v>
          </cell>
          <cell r="D38">
            <v>8752405.86</v>
          </cell>
        </row>
        <row r="39">
          <cell r="A39" t="str">
            <v>Fatullah</v>
          </cell>
          <cell r="B39">
            <v>6593385.47</v>
          </cell>
          <cell r="C39">
            <v>4837610.24</v>
          </cell>
          <cell r="D39">
            <v>4761570.27</v>
          </cell>
        </row>
        <row r="40">
          <cell r="A40" t="str">
            <v>Feni</v>
          </cell>
          <cell r="B40">
            <v>12517070.51</v>
          </cell>
          <cell r="C40">
            <v>11759295.68</v>
          </cell>
          <cell r="D40">
            <v>11599150.88</v>
          </cell>
        </row>
        <row r="41">
          <cell r="A41" t="str">
            <v>Fulbari</v>
          </cell>
          <cell r="B41">
            <v>3716501.27</v>
          </cell>
          <cell r="C41">
            <v>3703673.76</v>
          </cell>
          <cell r="D41">
            <v>3699303.45</v>
          </cell>
        </row>
        <row r="42">
          <cell r="A42" t="str">
            <v>Gaibandha</v>
          </cell>
          <cell r="B42">
            <v>7162419.9</v>
          </cell>
          <cell r="C42">
            <v>7172699.81</v>
          </cell>
          <cell r="D42">
            <v>7162419.9</v>
          </cell>
        </row>
        <row r="43">
          <cell r="A43" t="str">
            <v>Gazipur</v>
          </cell>
          <cell r="B43">
            <v>9261710.05</v>
          </cell>
          <cell r="C43">
            <v>7442058.11</v>
          </cell>
          <cell r="D43">
            <v>7212263.6</v>
          </cell>
        </row>
        <row r="44">
          <cell r="A44" t="str">
            <v>Ghatail</v>
          </cell>
          <cell r="B44">
            <v>8399126.38</v>
          </cell>
          <cell r="C44">
            <v>9027533.66</v>
          </cell>
          <cell r="D44">
            <v>7981410.11</v>
          </cell>
        </row>
        <row r="45">
          <cell r="A45" t="str">
            <v>Gopalgonj</v>
          </cell>
          <cell r="B45">
            <v>8642789.78</v>
          </cell>
          <cell r="C45">
            <v>8533524.45</v>
          </cell>
          <cell r="D45">
            <v>8525561.18</v>
          </cell>
        </row>
        <row r="46">
          <cell r="A46" t="str">
            <v>Gulistan</v>
          </cell>
          <cell r="B46">
            <v>23462904.95</v>
          </cell>
          <cell r="C46">
            <v>14822786.7</v>
          </cell>
          <cell r="D46">
            <v>14698075.5</v>
          </cell>
        </row>
        <row r="47">
          <cell r="A47" t="str">
            <v>Halishahar</v>
          </cell>
          <cell r="B47">
            <v>6904139.16</v>
          </cell>
          <cell r="C47">
            <v>6600619.08</v>
          </cell>
          <cell r="D47">
            <v>6588262.04</v>
          </cell>
        </row>
        <row r="48">
          <cell r="A48" t="str">
            <v>Hasnabad</v>
          </cell>
          <cell r="B48">
            <v>5640782.82</v>
          </cell>
          <cell r="C48">
            <v>5903182.47</v>
          </cell>
          <cell r="D48">
            <v>5442809.08</v>
          </cell>
        </row>
        <row r="49">
          <cell r="A49" t="str">
            <v>Hathazari</v>
          </cell>
          <cell r="B49">
            <v>10219279.72</v>
          </cell>
          <cell r="C49">
            <v>9302930.47</v>
          </cell>
          <cell r="D49">
            <v>9289969.53</v>
          </cell>
        </row>
        <row r="50">
          <cell r="A50" t="str">
            <v>Hazigonj</v>
          </cell>
          <cell r="B50">
            <v>9766122.60000001</v>
          </cell>
          <cell r="C50">
            <v>9230923.66</v>
          </cell>
          <cell r="D50">
            <v>9124498.23</v>
          </cell>
        </row>
        <row r="51">
          <cell r="A51" t="str">
            <v>Hobigonj</v>
          </cell>
          <cell r="B51">
            <v>9407248.54</v>
          </cell>
          <cell r="C51">
            <v>8974986.62</v>
          </cell>
          <cell r="D51">
            <v>8866265.82</v>
          </cell>
        </row>
        <row r="52">
          <cell r="A52" t="str">
            <v>Imamgonj</v>
          </cell>
          <cell r="B52">
            <v>14997076.27</v>
          </cell>
          <cell r="C52">
            <v>14981308.51</v>
          </cell>
          <cell r="D52">
            <v>14814362.52</v>
          </cell>
        </row>
        <row r="53">
          <cell r="A53" t="str">
            <v>Ishwardi</v>
          </cell>
          <cell r="B53">
            <v>14800069.67</v>
          </cell>
          <cell r="C53">
            <v>12586231.17</v>
          </cell>
          <cell r="D53">
            <v>11966620.99</v>
          </cell>
        </row>
        <row r="54">
          <cell r="A54" t="str">
            <v>Islambagh</v>
          </cell>
          <cell r="B54">
            <v>8520939.37</v>
          </cell>
          <cell r="C54">
            <v>8526111.9</v>
          </cell>
          <cell r="D54">
            <v>8520939.37</v>
          </cell>
        </row>
        <row r="55">
          <cell r="A55" t="str">
            <v>Islampur Road</v>
          </cell>
          <cell r="B55">
            <v>39647415.4</v>
          </cell>
          <cell r="C55">
            <v>27760178.91</v>
          </cell>
          <cell r="D55">
            <v>27700488.02</v>
          </cell>
        </row>
        <row r="56">
          <cell r="A56" t="str">
            <v>Jamalpur</v>
          </cell>
          <cell r="B56">
            <v>1433122.81</v>
          </cell>
          <cell r="C56">
            <v>1435101.42</v>
          </cell>
          <cell r="D56">
            <v>1433122.81</v>
          </cell>
        </row>
        <row r="57">
          <cell r="A57" t="str">
            <v>Jatrabari</v>
          </cell>
          <cell r="B57">
            <v>13612680.32</v>
          </cell>
          <cell r="C57">
            <v>11764222.11</v>
          </cell>
          <cell r="D57">
            <v>11748981.84</v>
          </cell>
        </row>
        <row r="58">
          <cell r="A58" t="str">
            <v>Jessore</v>
          </cell>
          <cell r="B58">
            <v>15158893</v>
          </cell>
          <cell r="C58">
            <v>14213793.16</v>
          </cell>
          <cell r="D58">
            <v>14203383.26</v>
          </cell>
        </row>
        <row r="59">
          <cell r="A59" t="str">
            <v>Jhenaidah</v>
          </cell>
          <cell r="B59">
            <v>9837487.38</v>
          </cell>
          <cell r="C59">
            <v>9881894.9</v>
          </cell>
          <cell r="D59">
            <v>9837487.38</v>
          </cell>
        </row>
        <row r="60">
          <cell r="A60" t="str">
            <v>Jikorgacha</v>
          </cell>
          <cell r="B60">
            <v>9490990.12</v>
          </cell>
          <cell r="C60">
            <v>9199436.56</v>
          </cell>
          <cell r="D60">
            <v>9161504.78</v>
          </cell>
        </row>
        <row r="61">
          <cell r="A61" t="str">
            <v>Joydebpur</v>
          </cell>
          <cell r="B61">
            <v>8711275.45</v>
          </cell>
          <cell r="C61">
            <v>8197988.33</v>
          </cell>
          <cell r="D61">
            <v>8080969.07</v>
          </cell>
        </row>
        <row r="62">
          <cell r="A62" t="str">
            <v>Joypurhat</v>
          </cell>
          <cell r="B62">
            <v>5445396.81</v>
          </cell>
          <cell r="C62">
            <v>5446921.24</v>
          </cell>
          <cell r="D62">
            <v>5443344.71</v>
          </cell>
        </row>
        <row r="63">
          <cell r="A63" t="str">
            <v>Kadamtali</v>
          </cell>
          <cell r="B63">
            <v>7150445.51</v>
          </cell>
          <cell r="C63">
            <v>6285083</v>
          </cell>
          <cell r="D63">
            <v>6188591.92</v>
          </cell>
        </row>
        <row r="64">
          <cell r="A64" t="str">
            <v>Kalurghat</v>
          </cell>
          <cell r="B64">
            <v>7296856.11</v>
          </cell>
          <cell r="C64">
            <v>7308220.6</v>
          </cell>
          <cell r="D64">
            <v>7296856.11</v>
          </cell>
        </row>
        <row r="65">
          <cell r="A65" t="str">
            <v>Kamrangirchar</v>
          </cell>
          <cell r="B65">
            <v>12797645.97</v>
          </cell>
          <cell r="C65">
            <v>10380049.09</v>
          </cell>
          <cell r="D65">
            <v>10370874.03</v>
          </cell>
        </row>
        <row r="66">
          <cell r="A66" t="str">
            <v>Kazipara</v>
          </cell>
          <cell r="B66">
            <v>7552658.77</v>
          </cell>
          <cell r="C66">
            <v>7024015.75</v>
          </cell>
          <cell r="D66">
            <v>6982924.58</v>
          </cell>
        </row>
        <row r="67">
          <cell r="A67" t="str">
            <v>Keranigonj</v>
          </cell>
          <cell r="B67">
            <v>25224951.44</v>
          </cell>
          <cell r="C67">
            <v>13806909.64</v>
          </cell>
          <cell r="D67">
            <v>13655770.66</v>
          </cell>
        </row>
        <row r="68">
          <cell r="A68" t="str">
            <v>Keshobpur</v>
          </cell>
          <cell r="B68">
            <v>19663739.29</v>
          </cell>
          <cell r="C68">
            <v>18265496.1</v>
          </cell>
          <cell r="D68">
            <v>18215547.14</v>
          </cell>
        </row>
        <row r="69">
          <cell r="A69" t="str">
            <v>Khatungonj</v>
          </cell>
          <cell r="B69">
            <v>11343313.35</v>
          </cell>
          <cell r="C69">
            <v>10293327.57</v>
          </cell>
          <cell r="D69">
            <v>10157367.53</v>
          </cell>
        </row>
        <row r="70">
          <cell r="A70" t="str">
            <v>Khulna</v>
          </cell>
          <cell r="B70">
            <v>18517238.88</v>
          </cell>
          <cell r="C70">
            <v>14433297.68</v>
          </cell>
          <cell r="D70">
            <v>14422322.47</v>
          </cell>
        </row>
        <row r="71">
          <cell r="A71" t="str">
            <v>Konabari</v>
          </cell>
          <cell r="B71">
            <v>8433080.01</v>
          </cell>
          <cell r="C71">
            <v>7481231.42</v>
          </cell>
          <cell r="D71">
            <v>7471954.63</v>
          </cell>
        </row>
        <row r="72">
          <cell r="A72" t="str">
            <v>Kosba</v>
          </cell>
          <cell r="B72">
            <v>12360344.1</v>
          </cell>
          <cell r="C72">
            <v>11705255.03</v>
          </cell>
          <cell r="D72">
            <v>11559685.39</v>
          </cell>
        </row>
        <row r="73">
          <cell r="A73" t="str">
            <v>Kotiadi</v>
          </cell>
          <cell r="B73">
            <v>9931079.89</v>
          </cell>
          <cell r="C73">
            <v>9445165.04</v>
          </cell>
          <cell r="D73">
            <v>9432635.96</v>
          </cell>
        </row>
        <row r="74">
          <cell r="A74" t="str">
            <v>Kulaura </v>
          </cell>
          <cell r="B74">
            <v>6903213.65</v>
          </cell>
          <cell r="C74">
            <v>6769771.27999999</v>
          </cell>
          <cell r="D74">
            <v>6764505.33</v>
          </cell>
        </row>
        <row r="75">
          <cell r="A75" t="str">
            <v>Kurigram</v>
          </cell>
          <cell r="B75">
            <v>9377233.99</v>
          </cell>
          <cell r="C75">
            <v>9603079.88</v>
          </cell>
          <cell r="D75">
            <v>9333107.64</v>
          </cell>
        </row>
        <row r="76">
          <cell r="A76" t="str">
            <v>Kushtia</v>
          </cell>
          <cell r="B76">
            <v>6973090.21</v>
          </cell>
          <cell r="C76">
            <v>6741795.56</v>
          </cell>
          <cell r="D76">
            <v>6733222.29</v>
          </cell>
        </row>
        <row r="77">
          <cell r="A77" t="str">
            <v>Laksham</v>
          </cell>
          <cell r="B77">
            <v>6764340.88</v>
          </cell>
          <cell r="C77">
            <v>6286688.66</v>
          </cell>
          <cell r="D77">
            <v>6214636.02</v>
          </cell>
        </row>
        <row r="78">
          <cell r="A78" t="str">
            <v>Laxmipur</v>
          </cell>
          <cell r="B78">
            <v>6321743.51</v>
          </cell>
          <cell r="C78">
            <v>5795695.33</v>
          </cell>
          <cell r="D78">
            <v>5768137.04</v>
          </cell>
        </row>
        <row r="79">
          <cell r="A79" t="str">
            <v>Lohagora, CTG</v>
          </cell>
          <cell r="B79">
            <v>7785106.56</v>
          </cell>
          <cell r="C79">
            <v>7346624.76</v>
          </cell>
          <cell r="D79">
            <v>7313718.87</v>
          </cell>
        </row>
        <row r="80">
          <cell r="A80" t="str">
            <v>Madhabpur</v>
          </cell>
          <cell r="B80">
            <v>14031401.09</v>
          </cell>
          <cell r="C80">
            <v>13489571.9</v>
          </cell>
          <cell r="D80">
            <v>13296662.89</v>
          </cell>
        </row>
        <row r="81">
          <cell r="A81" t="str">
            <v>Magura</v>
          </cell>
          <cell r="B81">
            <v>5765055.12</v>
          </cell>
          <cell r="C81">
            <v>7314246.1</v>
          </cell>
          <cell r="D81">
            <v>5759175.62</v>
          </cell>
        </row>
        <row r="82">
          <cell r="A82" t="str">
            <v>Maijdee</v>
          </cell>
          <cell r="B82">
            <v>9175276.59</v>
          </cell>
          <cell r="C82">
            <v>10754111.7</v>
          </cell>
          <cell r="D82">
            <v>8376677.15</v>
          </cell>
        </row>
        <row r="83">
          <cell r="A83" t="str">
            <v>Manikgonj</v>
          </cell>
          <cell r="B83">
            <v>3204197.45</v>
          </cell>
          <cell r="C83">
            <v>3243793.21</v>
          </cell>
          <cell r="D83">
            <v>3070081.24</v>
          </cell>
        </row>
        <row r="84">
          <cell r="A84" t="str">
            <v>Mirpur</v>
          </cell>
          <cell r="B84">
            <v>17178613.75</v>
          </cell>
          <cell r="C84">
            <v>15406048.57</v>
          </cell>
          <cell r="D84">
            <v>15331026.13</v>
          </cell>
        </row>
        <row r="85">
          <cell r="A85" t="str">
            <v>Moghbazar</v>
          </cell>
          <cell r="B85">
            <v>9783047.67</v>
          </cell>
          <cell r="C85">
            <v>6113427.73</v>
          </cell>
          <cell r="D85">
            <v>6017423.43</v>
          </cell>
        </row>
        <row r="86">
          <cell r="A86" t="str">
            <v>Mohammadpur</v>
          </cell>
          <cell r="B86">
            <v>8792359.42</v>
          </cell>
          <cell r="C86">
            <v>7926715.33</v>
          </cell>
          <cell r="D86">
            <v>7920275.4</v>
          </cell>
        </row>
        <row r="87">
          <cell r="A87" t="str">
            <v>Mymensingh</v>
          </cell>
          <cell r="B87">
            <v>16216590.32</v>
          </cell>
          <cell r="C87">
            <v>15546262.7</v>
          </cell>
          <cell r="D87">
            <v>14887001.69</v>
          </cell>
        </row>
        <row r="88">
          <cell r="A88" t="str">
            <v>Nangolkot</v>
          </cell>
          <cell r="B88">
            <v>11921261.07</v>
          </cell>
          <cell r="C88">
            <v>11641972.3</v>
          </cell>
          <cell r="D88">
            <v>11572316.8</v>
          </cell>
        </row>
        <row r="89">
          <cell r="A89" t="str">
            <v>Naogaon</v>
          </cell>
          <cell r="B89">
            <v>9335334.31</v>
          </cell>
          <cell r="C89">
            <v>8846181.85</v>
          </cell>
          <cell r="D89">
            <v>8838621.39</v>
          </cell>
        </row>
        <row r="90">
          <cell r="A90" t="str">
            <v>Narail</v>
          </cell>
          <cell r="B90">
            <v>7573943.55</v>
          </cell>
          <cell r="C90">
            <v>7303163.14</v>
          </cell>
          <cell r="D90">
            <v>7293464.51</v>
          </cell>
        </row>
        <row r="91">
          <cell r="A91" t="str">
            <v>Narayangonj</v>
          </cell>
          <cell r="B91">
            <v>19464762.37</v>
          </cell>
          <cell r="C91">
            <v>11558700.58</v>
          </cell>
          <cell r="D91">
            <v>11474189.93</v>
          </cell>
        </row>
        <row r="92">
          <cell r="A92" t="str">
            <v>Narsingdi</v>
          </cell>
          <cell r="B92">
            <v>16864351.52</v>
          </cell>
          <cell r="C92">
            <v>16589467.4</v>
          </cell>
          <cell r="D92">
            <v>16434976.66</v>
          </cell>
        </row>
        <row r="93">
          <cell r="A93" t="str">
            <v>Nawabgonj</v>
          </cell>
          <cell r="B93">
            <v>9916197.13</v>
          </cell>
          <cell r="C93">
            <v>9576352.81</v>
          </cell>
          <cell r="D93">
            <v>9543675.21</v>
          </cell>
        </row>
        <row r="94">
          <cell r="A94" t="str">
            <v>Nawabpur</v>
          </cell>
          <cell r="B94">
            <v>12082543.96</v>
          </cell>
          <cell r="C94">
            <v>10280113.47</v>
          </cell>
          <cell r="D94">
            <v>10270351.08</v>
          </cell>
        </row>
        <row r="95">
          <cell r="A95" t="str">
            <v>Nondon Kanon</v>
          </cell>
          <cell r="B95">
            <v>9109083.11</v>
          </cell>
          <cell r="C95">
            <v>8705123.96</v>
          </cell>
          <cell r="D95">
            <v>8566503.24</v>
          </cell>
        </row>
        <row r="96">
          <cell r="A96" t="str">
            <v>Pabna</v>
          </cell>
          <cell r="B96">
            <v>17282532.29</v>
          </cell>
          <cell r="C96">
            <v>16894326.79</v>
          </cell>
          <cell r="D96">
            <v>16363533.71</v>
          </cell>
        </row>
        <row r="97">
          <cell r="A97" t="str">
            <v>Pahartali</v>
          </cell>
          <cell r="B97">
            <v>10740988.54</v>
          </cell>
          <cell r="C97">
            <v>9997755.61</v>
          </cell>
          <cell r="D97">
            <v>9919827.23</v>
          </cell>
        </row>
        <row r="98">
          <cell r="A98" t="str">
            <v>Panchaghar</v>
          </cell>
          <cell r="B98">
            <v>5969231.45</v>
          </cell>
          <cell r="C98">
            <v>5858945.21</v>
          </cell>
          <cell r="D98">
            <v>5838480.71</v>
          </cell>
        </row>
        <row r="99">
          <cell r="A99" t="str">
            <v>Patuakhali</v>
          </cell>
          <cell r="B99">
            <v>12544355.8</v>
          </cell>
          <cell r="C99">
            <v>9901771.39</v>
          </cell>
          <cell r="D99">
            <v>9812855.86</v>
          </cell>
        </row>
        <row r="100">
          <cell r="A100" t="str">
            <v>Potiya</v>
          </cell>
          <cell r="B100">
            <v>5829358.03</v>
          </cell>
          <cell r="C100">
            <v>5375278.76</v>
          </cell>
          <cell r="D100">
            <v>5320760.72</v>
          </cell>
        </row>
        <row r="101">
          <cell r="A101" t="str">
            <v>Rajbari</v>
          </cell>
          <cell r="B101">
            <v>6027729.24</v>
          </cell>
          <cell r="C101">
            <v>5956675.87</v>
          </cell>
          <cell r="D101">
            <v>5948935.89</v>
          </cell>
        </row>
        <row r="102">
          <cell r="A102" t="str">
            <v>Rajshahi</v>
          </cell>
          <cell r="B102">
            <v>17142854.27</v>
          </cell>
          <cell r="C102">
            <v>16528715.76</v>
          </cell>
          <cell r="D102">
            <v>16447614.04</v>
          </cell>
        </row>
        <row r="103">
          <cell r="A103" t="str">
            <v>Rangpur</v>
          </cell>
          <cell r="B103">
            <v>11995969.17</v>
          </cell>
          <cell r="C103">
            <v>11546109.64</v>
          </cell>
          <cell r="D103">
            <v>11465087.33</v>
          </cell>
        </row>
        <row r="104">
          <cell r="A104" t="str">
            <v>Sathkhira</v>
          </cell>
          <cell r="B104">
            <v>3623946.28</v>
          </cell>
          <cell r="C104">
            <v>3627751.74</v>
          </cell>
          <cell r="D104">
            <v>3623946.28</v>
          </cell>
        </row>
        <row r="105">
          <cell r="A105" t="str">
            <v>Savar</v>
          </cell>
          <cell r="B105">
            <v>5469028.62</v>
          </cell>
          <cell r="C105">
            <v>4369793.33</v>
          </cell>
          <cell r="D105">
            <v>4307015.8</v>
          </cell>
        </row>
        <row r="106">
          <cell r="A106" t="str">
            <v>Savar-2</v>
          </cell>
          <cell r="B106">
            <v>5732981.61</v>
          </cell>
          <cell r="C106">
            <v>5282280.71</v>
          </cell>
          <cell r="D106">
            <v>5260491.73</v>
          </cell>
        </row>
        <row r="107">
          <cell r="A107" t="str">
            <v>Shaheshtagonj</v>
          </cell>
          <cell r="B107">
            <v>13148521.91</v>
          </cell>
          <cell r="C107">
            <v>11865166.54</v>
          </cell>
          <cell r="D107">
            <v>11800439.46</v>
          </cell>
        </row>
        <row r="108">
          <cell r="A108" t="str">
            <v>Shambazar</v>
          </cell>
          <cell r="B108">
            <v>38642633.14</v>
          </cell>
          <cell r="C108">
            <v>21336815.57</v>
          </cell>
          <cell r="D108">
            <v>21313868.48</v>
          </cell>
        </row>
        <row r="109">
          <cell r="A109" t="str">
            <v>Shariatpur</v>
          </cell>
          <cell r="B109">
            <v>10790109.77</v>
          </cell>
          <cell r="C109">
            <v>10806540.45</v>
          </cell>
          <cell r="D109">
            <v>10789363.09</v>
          </cell>
        </row>
        <row r="110">
          <cell r="A110" t="str">
            <v>Sherpur</v>
          </cell>
          <cell r="B110">
            <v>4891133.34</v>
          </cell>
          <cell r="C110">
            <v>4719340.55</v>
          </cell>
          <cell r="D110">
            <v>4711771.66</v>
          </cell>
        </row>
        <row r="111">
          <cell r="A111" t="str">
            <v>Shiddirgonj</v>
          </cell>
          <cell r="B111">
            <v>9414048.63</v>
          </cell>
          <cell r="C111">
            <v>9429382.41</v>
          </cell>
          <cell r="D111">
            <v>9414048.63</v>
          </cell>
        </row>
        <row r="112">
          <cell r="A112" t="str">
            <v>Sirajgonj</v>
          </cell>
          <cell r="B112">
            <v>10076864.28</v>
          </cell>
          <cell r="C112">
            <v>10143794.43</v>
          </cell>
          <cell r="D112">
            <v>10054332.94</v>
          </cell>
        </row>
        <row r="113">
          <cell r="A113" t="str">
            <v>Sonir Akhra</v>
          </cell>
          <cell r="B113">
            <v>6221769.09</v>
          </cell>
          <cell r="C113">
            <v>5975413.22</v>
          </cell>
          <cell r="D113">
            <v>5969090.73</v>
          </cell>
        </row>
        <row r="114">
          <cell r="A114" t="str">
            <v>South Surma</v>
          </cell>
          <cell r="B114">
            <v>4566046.43</v>
          </cell>
          <cell r="C114">
            <v>3586469.67</v>
          </cell>
          <cell r="D114">
            <v>3495458.72</v>
          </cell>
        </row>
        <row r="115">
          <cell r="A115" t="str">
            <v>Sreenagar</v>
          </cell>
          <cell r="B115">
            <v>6401684.34</v>
          </cell>
          <cell r="C115">
            <v>6288205.81</v>
          </cell>
          <cell r="D115">
            <v>6256898.12</v>
          </cell>
        </row>
        <row r="116">
          <cell r="A116" t="str">
            <v>Sreepur</v>
          </cell>
          <cell r="B116">
            <v>8503536.36</v>
          </cell>
          <cell r="C116">
            <v>8480755.77</v>
          </cell>
          <cell r="D116">
            <v>8463571.88</v>
          </cell>
        </row>
        <row r="117">
          <cell r="A117" t="str">
            <v>Swarupkathi</v>
          </cell>
          <cell r="B117">
            <v>5747868.53</v>
          </cell>
          <cell r="C117">
            <v>4769688.34</v>
          </cell>
          <cell r="D117">
            <v>4551741.48</v>
          </cell>
        </row>
        <row r="118">
          <cell r="A118" t="str">
            <v>Syedpur</v>
          </cell>
          <cell r="B118">
            <v>7761886.86</v>
          </cell>
          <cell r="C118">
            <v>7695017.76</v>
          </cell>
          <cell r="D118">
            <v>7687465.09</v>
          </cell>
        </row>
        <row r="119">
          <cell r="A119" t="str">
            <v>Tangail</v>
          </cell>
          <cell r="B119">
            <v>7620853.59</v>
          </cell>
          <cell r="C119">
            <v>7826171.81</v>
          </cell>
          <cell r="D119">
            <v>7250523.86</v>
          </cell>
        </row>
        <row r="120">
          <cell r="A120" t="str">
            <v>Thakurgaon</v>
          </cell>
          <cell r="B120">
            <v>7811575.16</v>
          </cell>
          <cell r="C120">
            <v>7187264.33</v>
          </cell>
          <cell r="D120">
            <v>7156068.74</v>
          </cell>
        </row>
        <row r="121">
          <cell r="A121" t="str">
            <v>Tongi</v>
          </cell>
          <cell r="B121">
            <v>8073871.34</v>
          </cell>
          <cell r="C121">
            <v>8088568.36</v>
          </cell>
          <cell r="D121">
            <v>7374439.69</v>
          </cell>
        </row>
        <row r="122">
          <cell r="A122" t="str">
            <v>Zinzira</v>
          </cell>
          <cell r="B122">
            <v>20683377.61</v>
          </cell>
          <cell r="C122">
            <v>11103354.88</v>
          </cell>
          <cell r="D122">
            <v>11097658.01</v>
          </cell>
        </row>
        <row r="123">
          <cell r="A123" t="str">
            <v>Grand Total</v>
          </cell>
          <cell r="B123">
            <v>1209548469.96</v>
          </cell>
          <cell r="C123">
            <v>1071852695.73</v>
          </cell>
          <cell r="D123">
            <v>1054327285.72</v>
          </cell>
        </row>
      </sheetData>
      <sheetData sheetId="15" refreshError="1"/>
      <sheetData sheetId="16" refreshError="1"/>
      <sheetData sheetId="17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Bogura</v>
          </cell>
          <cell r="B6">
            <v>1282294.74</v>
          </cell>
          <cell r="C6">
            <v>1</v>
          </cell>
        </row>
        <row r="7">
          <cell r="A7" t="str">
            <v>Chawk Bazar</v>
          </cell>
          <cell r="B7">
            <v>2356767.96</v>
          </cell>
          <cell r="C7">
            <v>1</v>
          </cell>
        </row>
        <row r="8">
          <cell r="A8" t="str">
            <v>Chuadanga</v>
          </cell>
          <cell r="B8">
            <v>635150.73</v>
          </cell>
          <cell r="C8">
            <v>1</v>
          </cell>
        </row>
        <row r="9">
          <cell r="A9" t="str">
            <v>Daulatpur</v>
          </cell>
          <cell r="B9">
            <v>1585889.27</v>
          </cell>
          <cell r="C9">
            <v>1</v>
          </cell>
        </row>
        <row r="10">
          <cell r="A10" t="str">
            <v>Hazigonj</v>
          </cell>
          <cell r="B10">
            <v>1264623.61</v>
          </cell>
          <cell r="C10">
            <v>1</v>
          </cell>
        </row>
        <row r="11">
          <cell r="A11" t="str">
            <v>Hobigonj</v>
          </cell>
          <cell r="B11">
            <v>521856.35</v>
          </cell>
          <cell r="C11">
            <v>1</v>
          </cell>
        </row>
        <row r="12">
          <cell r="A12" t="str">
            <v>Ishwardi</v>
          </cell>
          <cell r="B12">
            <v>12789704.92</v>
          </cell>
          <cell r="C12">
            <v>1</v>
          </cell>
        </row>
        <row r="13">
          <cell r="A13" t="str">
            <v>Islampur Road</v>
          </cell>
          <cell r="B13">
            <v>3992796.94</v>
          </cell>
          <cell r="C13">
            <v>1</v>
          </cell>
        </row>
        <row r="14">
          <cell r="A14" t="str">
            <v>Kadamtali</v>
          </cell>
          <cell r="B14">
            <v>1277234.15</v>
          </cell>
          <cell r="C14">
            <v>1</v>
          </cell>
        </row>
        <row r="15">
          <cell r="A15" t="str">
            <v>Kotiadi</v>
          </cell>
          <cell r="B15">
            <v>363532.41</v>
          </cell>
          <cell r="C15">
            <v>1</v>
          </cell>
        </row>
        <row r="16">
          <cell r="A16" t="str">
            <v>Maijdee</v>
          </cell>
          <cell r="B16">
            <v>720916.59</v>
          </cell>
          <cell r="C16">
            <v>1</v>
          </cell>
        </row>
        <row r="17">
          <cell r="A17" t="str">
            <v>Narail</v>
          </cell>
          <cell r="B17">
            <v>205504.01</v>
          </cell>
          <cell r="C17">
            <v>1</v>
          </cell>
        </row>
        <row r="18">
          <cell r="A18" t="str">
            <v>Patuakhali</v>
          </cell>
          <cell r="B18">
            <v>608455.53</v>
          </cell>
          <cell r="C18">
            <v>1</v>
          </cell>
        </row>
        <row r="19">
          <cell r="A19" t="str">
            <v>Savar</v>
          </cell>
          <cell r="B19">
            <v>1385551.84</v>
          </cell>
          <cell r="C19">
            <v>1</v>
          </cell>
        </row>
        <row r="20">
          <cell r="A20" t="str">
            <v>Shaheshtagonj</v>
          </cell>
          <cell r="B20">
            <v>2386120.18</v>
          </cell>
          <cell r="C20">
            <v>1</v>
          </cell>
        </row>
        <row r="21">
          <cell r="A21" t="str">
            <v>South Surma</v>
          </cell>
          <cell r="B21">
            <v>1473758.34</v>
          </cell>
          <cell r="C21">
            <v>1</v>
          </cell>
        </row>
        <row r="22">
          <cell r="A22" t="str">
            <v>Grand Total</v>
          </cell>
          <cell r="B22">
            <v>34671958.39</v>
          </cell>
          <cell r="C22">
            <v>18</v>
          </cell>
        </row>
      </sheetData>
      <sheetData sheetId="18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Ambarkhana</v>
          </cell>
          <cell r="B6">
            <v>779349.74</v>
          </cell>
          <cell r="C6">
            <v>1</v>
          </cell>
        </row>
        <row r="7">
          <cell r="A7" t="str">
            <v>Anderkilla</v>
          </cell>
          <cell r="B7">
            <v>1723075.75</v>
          </cell>
          <cell r="C7">
            <v>1</v>
          </cell>
        </row>
        <row r="8">
          <cell r="A8" t="str">
            <v>Badda</v>
          </cell>
          <cell r="B8">
            <v>847652</v>
          </cell>
          <cell r="C8">
            <v>1</v>
          </cell>
        </row>
        <row r="9">
          <cell r="A9" t="str">
            <v>Bagerhat</v>
          </cell>
          <cell r="B9">
            <v>607392.84</v>
          </cell>
          <cell r="C9">
            <v>1</v>
          </cell>
        </row>
        <row r="10">
          <cell r="A10" t="str">
            <v>Banasree</v>
          </cell>
          <cell r="B10">
            <v>909654.32</v>
          </cell>
          <cell r="C10">
            <v>1</v>
          </cell>
        </row>
        <row r="11">
          <cell r="A11" t="str">
            <v>Bancharampur</v>
          </cell>
          <cell r="B11">
            <v>1205946.76</v>
          </cell>
          <cell r="C11">
            <v>2</v>
          </cell>
        </row>
        <row r="12">
          <cell r="A12" t="str">
            <v>Barishal</v>
          </cell>
          <cell r="B12">
            <v>905925.4</v>
          </cell>
          <cell r="C12">
            <v>1</v>
          </cell>
        </row>
        <row r="13">
          <cell r="A13" t="str">
            <v>Bhanga</v>
          </cell>
          <cell r="B13">
            <v>644738</v>
          </cell>
          <cell r="C13">
            <v>1</v>
          </cell>
        </row>
        <row r="14">
          <cell r="A14" t="str">
            <v>Bheramara</v>
          </cell>
          <cell r="B14">
            <v>423272.47</v>
          </cell>
          <cell r="C14">
            <v>1</v>
          </cell>
        </row>
        <row r="15">
          <cell r="A15" t="str">
            <v>Bhola</v>
          </cell>
          <cell r="B15">
            <v>437405.22</v>
          </cell>
          <cell r="C15">
            <v>1</v>
          </cell>
        </row>
        <row r="16">
          <cell r="A16" t="str">
            <v>Bogura</v>
          </cell>
          <cell r="B16">
            <v>2411220.88</v>
          </cell>
          <cell r="C16">
            <v>2</v>
          </cell>
        </row>
        <row r="17">
          <cell r="A17" t="str">
            <v>Brahmanbaria</v>
          </cell>
          <cell r="B17">
            <v>927385.94</v>
          </cell>
          <cell r="C17">
            <v>1</v>
          </cell>
        </row>
        <row r="18">
          <cell r="A18" t="str">
            <v>Chawk Bazar</v>
          </cell>
          <cell r="B18">
            <v>2356767.96</v>
          </cell>
          <cell r="C18">
            <v>1</v>
          </cell>
        </row>
        <row r="19">
          <cell r="A19" t="str">
            <v>Choumohoni</v>
          </cell>
          <cell r="B19">
            <v>2257986.78</v>
          </cell>
          <cell r="C19">
            <v>1</v>
          </cell>
        </row>
        <row r="20">
          <cell r="A20" t="str">
            <v>Chuadanga</v>
          </cell>
          <cell r="B20">
            <v>635150.73</v>
          </cell>
          <cell r="C20">
            <v>1</v>
          </cell>
        </row>
        <row r="21">
          <cell r="A21" t="str">
            <v>Comilla West</v>
          </cell>
          <cell r="B21">
            <v>647716.9</v>
          </cell>
          <cell r="C21">
            <v>1</v>
          </cell>
        </row>
        <row r="22">
          <cell r="A22" t="str">
            <v>Companygonj</v>
          </cell>
          <cell r="B22">
            <v>811084.44</v>
          </cell>
          <cell r="C22">
            <v>1</v>
          </cell>
        </row>
        <row r="23">
          <cell r="A23" t="str">
            <v>Cox's Bazar</v>
          </cell>
          <cell r="B23">
            <v>4167931.62</v>
          </cell>
          <cell r="C23">
            <v>2</v>
          </cell>
        </row>
        <row r="24">
          <cell r="A24" t="str">
            <v>Daulatpur</v>
          </cell>
          <cell r="B24">
            <v>4137533.81</v>
          </cell>
          <cell r="C24">
            <v>2</v>
          </cell>
        </row>
        <row r="25">
          <cell r="A25" t="str">
            <v>DEPZ</v>
          </cell>
          <cell r="B25">
            <v>2421306.39</v>
          </cell>
          <cell r="C25">
            <v>1</v>
          </cell>
        </row>
        <row r="26">
          <cell r="A26" t="str">
            <v>Dhamrai</v>
          </cell>
          <cell r="B26">
            <v>598875.2</v>
          </cell>
          <cell r="C26">
            <v>1</v>
          </cell>
        </row>
        <row r="27">
          <cell r="A27" t="str">
            <v>Dinajpur</v>
          </cell>
          <cell r="B27">
            <v>487136.82</v>
          </cell>
          <cell r="C27">
            <v>1</v>
          </cell>
        </row>
        <row r="28">
          <cell r="A28" t="str">
            <v>Elephant Road</v>
          </cell>
          <cell r="B28">
            <v>2364944.8</v>
          </cell>
          <cell r="C28">
            <v>1</v>
          </cell>
        </row>
        <row r="29">
          <cell r="A29" t="str">
            <v>Faridpur</v>
          </cell>
          <cell r="B29">
            <v>4657566.4</v>
          </cell>
          <cell r="C29">
            <v>2</v>
          </cell>
        </row>
        <row r="30">
          <cell r="A30" t="str">
            <v>Fatullah</v>
          </cell>
          <cell r="B30">
            <v>1701747.29</v>
          </cell>
          <cell r="C30">
            <v>2</v>
          </cell>
        </row>
        <row r="31">
          <cell r="A31" t="str">
            <v>Gazipur</v>
          </cell>
          <cell r="B31">
            <v>8170953.46</v>
          </cell>
          <cell r="C31">
            <v>5</v>
          </cell>
        </row>
        <row r="32">
          <cell r="A32" t="str">
            <v>Ghatail</v>
          </cell>
          <cell r="B32">
            <v>826917.25</v>
          </cell>
          <cell r="C32">
            <v>1</v>
          </cell>
        </row>
        <row r="33">
          <cell r="A33" t="str">
            <v>Gulistan</v>
          </cell>
          <cell r="B33">
            <v>1464195.41</v>
          </cell>
          <cell r="C33">
            <v>1</v>
          </cell>
        </row>
        <row r="34">
          <cell r="A34" t="str">
            <v>Hasnabad</v>
          </cell>
          <cell r="B34">
            <v>1300374.72</v>
          </cell>
          <cell r="C34">
            <v>1</v>
          </cell>
        </row>
        <row r="35">
          <cell r="A35" t="str">
            <v>Hathazari</v>
          </cell>
          <cell r="B35">
            <v>5290379.67</v>
          </cell>
          <cell r="C35">
            <v>3</v>
          </cell>
        </row>
        <row r="36">
          <cell r="A36" t="str">
            <v>Hazigonj</v>
          </cell>
          <cell r="B36">
            <v>1264623.61</v>
          </cell>
          <cell r="C36">
            <v>1</v>
          </cell>
        </row>
        <row r="37">
          <cell r="A37" t="str">
            <v>Hobigonj</v>
          </cell>
          <cell r="B37">
            <v>521856.35</v>
          </cell>
          <cell r="C37">
            <v>1</v>
          </cell>
        </row>
        <row r="38">
          <cell r="A38" t="str">
            <v>Ishwardi</v>
          </cell>
          <cell r="B38">
            <v>12789704.92</v>
          </cell>
          <cell r="C38">
            <v>1</v>
          </cell>
        </row>
        <row r="39">
          <cell r="A39" t="str">
            <v>Islampur Road</v>
          </cell>
          <cell r="B39">
            <v>3992796.94</v>
          </cell>
          <cell r="C39">
            <v>1</v>
          </cell>
        </row>
        <row r="40">
          <cell r="A40" t="str">
            <v>Jatrabari</v>
          </cell>
          <cell r="B40">
            <v>5766848.68</v>
          </cell>
          <cell r="C40">
            <v>3</v>
          </cell>
        </row>
        <row r="41">
          <cell r="A41" t="str">
            <v>Jessore</v>
          </cell>
          <cell r="B41">
            <v>1762800.35</v>
          </cell>
          <cell r="C41">
            <v>1</v>
          </cell>
        </row>
        <row r="42">
          <cell r="A42" t="str">
            <v>Jikorgacha</v>
          </cell>
          <cell r="B42">
            <v>1037102.36</v>
          </cell>
          <cell r="C42">
            <v>1</v>
          </cell>
        </row>
        <row r="43">
          <cell r="A43" t="str">
            <v>Joydebpur</v>
          </cell>
          <cell r="B43">
            <v>2497993.34</v>
          </cell>
          <cell r="C43">
            <v>1</v>
          </cell>
        </row>
        <row r="44">
          <cell r="A44" t="str">
            <v>Kadamtali</v>
          </cell>
          <cell r="B44">
            <v>2173690.96</v>
          </cell>
          <cell r="C44">
            <v>2</v>
          </cell>
        </row>
        <row r="45">
          <cell r="A45" t="str">
            <v>Kazipara</v>
          </cell>
          <cell r="B45">
            <v>752240.07</v>
          </cell>
          <cell r="C45">
            <v>1</v>
          </cell>
        </row>
        <row r="46">
          <cell r="A46" t="str">
            <v>Keranigonj</v>
          </cell>
          <cell r="B46">
            <v>873043.67</v>
          </cell>
          <cell r="C46">
            <v>1</v>
          </cell>
        </row>
        <row r="47">
          <cell r="A47" t="str">
            <v>Keshobpur</v>
          </cell>
          <cell r="B47">
            <v>3413620.04</v>
          </cell>
          <cell r="C47">
            <v>2</v>
          </cell>
        </row>
        <row r="48">
          <cell r="A48" t="str">
            <v>Khatungonj</v>
          </cell>
          <cell r="B48">
            <v>4545172.02</v>
          </cell>
          <cell r="C48">
            <v>2</v>
          </cell>
        </row>
        <row r="49">
          <cell r="A49" t="str">
            <v>Khulna</v>
          </cell>
          <cell r="B49">
            <v>12459504.14</v>
          </cell>
          <cell r="C49">
            <v>2</v>
          </cell>
        </row>
        <row r="50">
          <cell r="A50" t="str">
            <v>Kosba</v>
          </cell>
          <cell r="B50">
            <v>2123618.03</v>
          </cell>
          <cell r="C50">
            <v>2</v>
          </cell>
        </row>
        <row r="51">
          <cell r="A51" t="str">
            <v>Kotiadi</v>
          </cell>
          <cell r="B51">
            <v>363532.41</v>
          </cell>
          <cell r="C51">
            <v>1</v>
          </cell>
        </row>
        <row r="52">
          <cell r="A52" t="str">
            <v>Lohagora, CTG</v>
          </cell>
          <cell r="B52">
            <v>999277.64</v>
          </cell>
          <cell r="C52">
            <v>1</v>
          </cell>
        </row>
        <row r="53">
          <cell r="A53" t="str">
            <v>Madhabpur</v>
          </cell>
          <cell r="B53">
            <v>2418053.93</v>
          </cell>
          <cell r="C53">
            <v>2</v>
          </cell>
        </row>
        <row r="54">
          <cell r="A54" t="str">
            <v>Maijdee</v>
          </cell>
          <cell r="B54">
            <v>1612106.06</v>
          </cell>
          <cell r="C54">
            <v>2</v>
          </cell>
        </row>
        <row r="55">
          <cell r="A55" t="str">
            <v>Mirpur</v>
          </cell>
          <cell r="B55">
            <v>12060734.34</v>
          </cell>
          <cell r="C55">
            <v>5</v>
          </cell>
        </row>
        <row r="56">
          <cell r="A56" t="str">
            <v>Mohammadpur</v>
          </cell>
          <cell r="B56">
            <v>1420266.12</v>
          </cell>
          <cell r="C56">
            <v>1</v>
          </cell>
        </row>
        <row r="57">
          <cell r="A57" t="str">
            <v>Mymensingh</v>
          </cell>
          <cell r="B57">
            <v>1503462.9</v>
          </cell>
          <cell r="C57">
            <v>1</v>
          </cell>
        </row>
        <row r="58">
          <cell r="A58" t="str">
            <v>Narail</v>
          </cell>
          <cell r="B58">
            <v>827277.82</v>
          </cell>
          <cell r="C58">
            <v>2</v>
          </cell>
        </row>
        <row r="59">
          <cell r="A59" t="str">
            <v>Nawabgonj</v>
          </cell>
          <cell r="B59">
            <v>1573589.7</v>
          </cell>
          <cell r="C59">
            <v>1</v>
          </cell>
        </row>
        <row r="60">
          <cell r="A60" t="str">
            <v>Nondon Kanon</v>
          </cell>
          <cell r="B60">
            <v>3597635.06</v>
          </cell>
          <cell r="C60">
            <v>1</v>
          </cell>
        </row>
        <row r="61">
          <cell r="A61" t="str">
            <v>Pabna</v>
          </cell>
          <cell r="B61">
            <v>3422359.53</v>
          </cell>
          <cell r="C61">
            <v>3</v>
          </cell>
        </row>
        <row r="62">
          <cell r="A62" t="str">
            <v>Patuakhali</v>
          </cell>
          <cell r="B62">
            <v>9479963.82</v>
          </cell>
          <cell r="C62">
            <v>3</v>
          </cell>
        </row>
        <row r="63">
          <cell r="A63" t="str">
            <v>Potiya</v>
          </cell>
          <cell r="B63">
            <v>2041804.66</v>
          </cell>
          <cell r="C63">
            <v>1</v>
          </cell>
        </row>
        <row r="64">
          <cell r="A64" t="str">
            <v>Rajshahi</v>
          </cell>
          <cell r="B64">
            <v>1221046.22</v>
          </cell>
          <cell r="C64">
            <v>1</v>
          </cell>
        </row>
        <row r="65">
          <cell r="A65" t="str">
            <v>Rangpur</v>
          </cell>
          <cell r="B65">
            <v>2085063.73</v>
          </cell>
          <cell r="C65">
            <v>3</v>
          </cell>
        </row>
        <row r="66">
          <cell r="A66" t="str">
            <v>Savar</v>
          </cell>
          <cell r="B66">
            <v>2705659.07</v>
          </cell>
          <cell r="C66">
            <v>2</v>
          </cell>
        </row>
        <row r="67">
          <cell r="A67" t="str">
            <v>Savar-2</v>
          </cell>
          <cell r="B67">
            <v>1832513.5</v>
          </cell>
          <cell r="C67">
            <v>1</v>
          </cell>
        </row>
        <row r="68">
          <cell r="A68" t="str">
            <v>Shaheshtagonj</v>
          </cell>
          <cell r="B68">
            <v>2876546.24</v>
          </cell>
          <cell r="C68">
            <v>2</v>
          </cell>
        </row>
        <row r="69">
          <cell r="A69" t="str">
            <v>Shambazar</v>
          </cell>
          <cell r="B69">
            <v>1414301.24</v>
          </cell>
          <cell r="C69">
            <v>1</v>
          </cell>
        </row>
        <row r="70">
          <cell r="A70" t="str">
            <v>South Surma</v>
          </cell>
          <cell r="B70">
            <v>1473758.34</v>
          </cell>
          <cell r="C70">
            <v>1</v>
          </cell>
        </row>
        <row r="71">
          <cell r="A71" t="str">
            <v>Swarupkathi</v>
          </cell>
          <cell r="B71">
            <v>4736867.29</v>
          </cell>
          <cell r="C71">
            <v>2</v>
          </cell>
        </row>
        <row r="72">
          <cell r="A72" t="str">
            <v>Tangail</v>
          </cell>
          <cell r="B72">
            <v>1108861.37</v>
          </cell>
          <cell r="C72">
            <v>1</v>
          </cell>
        </row>
        <row r="73">
          <cell r="A73" t="str">
            <v>Thakurgaon</v>
          </cell>
          <cell r="B73">
            <v>1661412.78</v>
          </cell>
          <cell r="C73">
            <v>2</v>
          </cell>
        </row>
        <row r="74">
          <cell r="A74" t="str">
            <v>Tongi</v>
          </cell>
          <cell r="B74">
            <v>1892237.48</v>
          </cell>
          <cell r="C74">
            <v>2</v>
          </cell>
        </row>
        <row r="75">
          <cell r="A75" t="str">
            <v>Grand Total</v>
          </cell>
          <cell r="B75">
            <v>178246336.52</v>
          </cell>
          <cell r="C75">
            <v>108</v>
          </cell>
        </row>
      </sheetData>
      <sheetData sheetId="19" refreshError="1">
        <row r="4">
          <cell r="A4" t="str">
            <v>Agailjhara</v>
          </cell>
          <cell r="B4">
            <v>116930488.35</v>
          </cell>
        </row>
        <row r="5">
          <cell r="A5" t="str">
            <v>Ambarkhana</v>
          </cell>
          <cell r="B5">
            <v>121548266.8</v>
          </cell>
        </row>
        <row r="6">
          <cell r="A6" t="str">
            <v>Anderkilla</v>
          </cell>
          <cell r="B6">
            <v>175217947.14</v>
          </cell>
        </row>
        <row r="7">
          <cell r="A7" t="str">
            <v>Ashulia</v>
          </cell>
          <cell r="B7">
            <v>36046419.33</v>
          </cell>
        </row>
        <row r="8">
          <cell r="A8" t="str">
            <v>Badda</v>
          </cell>
          <cell r="B8">
            <v>189901499.38</v>
          </cell>
        </row>
        <row r="9">
          <cell r="A9" t="str">
            <v>Bagerhat</v>
          </cell>
          <cell r="B9">
            <v>100042164.79</v>
          </cell>
        </row>
        <row r="10">
          <cell r="A10" t="str">
            <v>Baligaon</v>
          </cell>
          <cell r="B10">
            <v>65294598.5</v>
          </cell>
        </row>
        <row r="11">
          <cell r="A11" t="str">
            <v>Banasree</v>
          </cell>
          <cell r="B11">
            <v>154958967.89</v>
          </cell>
        </row>
        <row r="12">
          <cell r="A12" t="str">
            <v>Bancharampur</v>
          </cell>
          <cell r="B12">
            <v>70397775.12</v>
          </cell>
        </row>
        <row r="13">
          <cell r="A13" t="str">
            <v>Bandartila </v>
          </cell>
          <cell r="B13">
            <v>97744012.21</v>
          </cell>
        </row>
        <row r="14">
          <cell r="A14" t="str">
            <v>Barguna</v>
          </cell>
          <cell r="B14">
            <v>58680805.05</v>
          </cell>
        </row>
        <row r="15">
          <cell r="A15" t="str">
            <v>Barishal</v>
          </cell>
          <cell r="B15">
            <v>140297485.06</v>
          </cell>
        </row>
        <row r="16">
          <cell r="A16" t="str">
            <v>Bhanga</v>
          </cell>
          <cell r="B16">
            <v>170675582.37</v>
          </cell>
        </row>
        <row r="17">
          <cell r="A17" t="str">
            <v>Bharaib</v>
          </cell>
          <cell r="B17">
            <v>103315479.17</v>
          </cell>
        </row>
        <row r="18">
          <cell r="A18" t="str">
            <v>Bheramara</v>
          </cell>
          <cell r="B18">
            <v>88571427.81</v>
          </cell>
        </row>
        <row r="19">
          <cell r="A19" t="str">
            <v>Bhola</v>
          </cell>
          <cell r="B19">
            <v>48416598.47</v>
          </cell>
        </row>
        <row r="20">
          <cell r="A20" t="str">
            <v>Bhulta</v>
          </cell>
          <cell r="B20">
            <v>104573559.25</v>
          </cell>
        </row>
        <row r="21">
          <cell r="A21" t="str">
            <v>Bogura</v>
          </cell>
          <cell r="B21">
            <v>156809134.5</v>
          </cell>
        </row>
        <row r="22">
          <cell r="A22" t="str">
            <v>Brahmanbaria</v>
          </cell>
          <cell r="B22">
            <v>142460452.39</v>
          </cell>
        </row>
        <row r="23">
          <cell r="A23" t="str">
            <v>C. Nawabganj</v>
          </cell>
          <cell r="B23">
            <v>140427016.83</v>
          </cell>
        </row>
        <row r="24">
          <cell r="A24" t="str">
            <v>Chandina</v>
          </cell>
          <cell r="B24">
            <v>193568701.97</v>
          </cell>
        </row>
        <row r="25">
          <cell r="A25" t="str">
            <v>Chauddagram</v>
          </cell>
          <cell r="B25">
            <v>136168511.49</v>
          </cell>
        </row>
        <row r="26">
          <cell r="A26" t="str">
            <v>Chawk Bazar</v>
          </cell>
          <cell r="B26">
            <v>213760500.17</v>
          </cell>
        </row>
        <row r="27">
          <cell r="A27" t="str">
            <v>Choumohoni</v>
          </cell>
          <cell r="B27">
            <v>145936559.13</v>
          </cell>
        </row>
        <row r="28">
          <cell r="A28" t="str">
            <v>Chuadanga</v>
          </cell>
          <cell r="B28">
            <v>114458092.64</v>
          </cell>
        </row>
        <row r="29">
          <cell r="A29" t="str">
            <v>Comilla East</v>
          </cell>
          <cell r="B29">
            <v>147661740.81</v>
          </cell>
        </row>
        <row r="30">
          <cell r="A30" t="str">
            <v>Comilla West</v>
          </cell>
          <cell r="B30">
            <v>74698129.31</v>
          </cell>
        </row>
        <row r="31">
          <cell r="A31" t="str">
            <v>Companygonj</v>
          </cell>
          <cell r="B31">
            <v>141132867.72</v>
          </cell>
        </row>
        <row r="32">
          <cell r="A32" t="str">
            <v>Cox's Bazar</v>
          </cell>
          <cell r="B32">
            <v>50640425.28</v>
          </cell>
        </row>
        <row r="33">
          <cell r="A33" t="str">
            <v>Daulatpur</v>
          </cell>
          <cell r="B33">
            <v>113618310.08</v>
          </cell>
        </row>
        <row r="34">
          <cell r="A34" t="str">
            <v>DEPZ</v>
          </cell>
          <cell r="B34">
            <v>90866907</v>
          </cell>
        </row>
        <row r="35">
          <cell r="A35" t="str">
            <v>Dhamrai</v>
          </cell>
          <cell r="B35">
            <v>58628419.28</v>
          </cell>
        </row>
        <row r="36">
          <cell r="A36" t="str">
            <v>Dinajpur</v>
          </cell>
          <cell r="B36">
            <v>91292925.4</v>
          </cell>
        </row>
        <row r="37">
          <cell r="A37" t="str">
            <v>Elephant Road</v>
          </cell>
          <cell r="B37">
            <v>155417824.53</v>
          </cell>
        </row>
        <row r="38">
          <cell r="A38" t="str">
            <v>Faridpur</v>
          </cell>
          <cell r="B38">
            <v>125527437.04</v>
          </cell>
        </row>
        <row r="39">
          <cell r="A39" t="str">
            <v>Fatullah</v>
          </cell>
          <cell r="B39">
            <v>78811240.45</v>
          </cell>
        </row>
        <row r="40">
          <cell r="A40" t="str">
            <v>Feni</v>
          </cell>
          <cell r="B40">
            <v>176483568.29</v>
          </cell>
        </row>
        <row r="41">
          <cell r="A41" t="str">
            <v>Fulbari</v>
          </cell>
          <cell r="B41">
            <v>46898419.38</v>
          </cell>
        </row>
        <row r="42">
          <cell r="A42" t="str">
            <v>Gaibandha</v>
          </cell>
          <cell r="B42">
            <v>101869719.16</v>
          </cell>
        </row>
        <row r="43">
          <cell r="A43" t="str">
            <v>Gazipur</v>
          </cell>
          <cell r="B43">
            <v>152862409.21</v>
          </cell>
        </row>
        <row r="44">
          <cell r="A44" t="str">
            <v>Ghatail</v>
          </cell>
          <cell r="B44">
            <v>68133440.49</v>
          </cell>
        </row>
        <row r="45">
          <cell r="A45" t="str">
            <v>Gopalgonj</v>
          </cell>
          <cell r="B45">
            <v>123870959.86</v>
          </cell>
        </row>
        <row r="46">
          <cell r="A46" t="str">
            <v>Gulistan</v>
          </cell>
          <cell r="B46">
            <v>156530523.87</v>
          </cell>
        </row>
        <row r="47">
          <cell r="A47" t="str">
            <v>Halishahar</v>
          </cell>
          <cell r="B47">
            <v>144409970.71</v>
          </cell>
        </row>
        <row r="48">
          <cell r="A48" t="str">
            <v>Hasnabad</v>
          </cell>
          <cell r="B48">
            <v>87055034.14</v>
          </cell>
        </row>
        <row r="49">
          <cell r="A49" t="str">
            <v>Hathazari</v>
          </cell>
          <cell r="B49">
            <v>155657481.28</v>
          </cell>
        </row>
        <row r="50">
          <cell r="A50" t="str">
            <v>Hazigonj</v>
          </cell>
          <cell r="B50">
            <v>125431716.67</v>
          </cell>
        </row>
        <row r="51">
          <cell r="A51" t="str">
            <v>Hobigonj</v>
          </cell>
          <cell r="B51">
            <v>134190565.84</v>
          </cell>
        </row>
        <row r="52">
          <cell r="A52" t="str">
            <v>Imamgonj</v>
          </cell>
          <cell r="B52">
            <v>146365975.45</v>
          </cell>
        </row>
        <row r="53">
          <cell r="A53" t="str">
            <v>Ishwardi</v>
          </cell>
          <cell r="B53">
            <v>157062025.13</v>
          </cell>
        </row>
        <row r="54">
          <cell r="A54" t="str">
            <v>Islambagh</v>
          </cell>
          <cell r="B54">
            <v>106569661.64</v>
          </cell>
        </row>
        <row r="55">
          <cell r="A55" t="str">
            <v>Islampur Road</v>
          </cell>
          <cell r="B55">
            <v>245457946.55</v>
          </cell>
        </row>
        <row r="56">
          <cell r="A56" t="str">
            <v>Jamalpur</v>
          </cell>
          <cell r="B56">
            <v>19146358.65</v>
          </cell>
        </row>
        <row r="57">
          <cell r="A57" t="str">
            <v>Jatrabari</v>
          </cell>
          <cell r="B57">
            <v>178668007.58</v>
          </cell>
        </row>
        <row r="58">
          <cell r="A58" t="str">
            <v>Jessore</v>
          </cell>
          <cell r="B58">
            <v>210683641.12</v>
          </cell>
        </row>
        <row r="59">
          <cell r="A59" t="str">
            <v>Jhenaidah</v>
          </cell>
          <cell r="B59">
            <v>110871455.87</v>
          </cell>
        </row>
        <row r="60">
          <cell r="A60" t="str">
            <v>Jikorgacha</v>
          </cell>
          <cell r="B60">
            <v>98291659.48</v>
          </cell>
        </row>
        <row r="61">
          <cell r="A61" t="str">
            <v>Joydebpur</v>
          </cell>
          <cell r="B61">
            <v>131229504.74</v>
          </cell>
        </row>
        <row r="62">
          <cell r="A62" t="str">
            <v>Joypurhat</v>
          </cell>
          <cell r="B62">
            <v>60816462.2</v>
          </cell>
        </row>
        <row r="63">
          <cell r="A63" t="str">
            <v>Kadamtali</v>
          </cell>
          <cell r="B63">
            <v>111036485.63</v>
          </cell>
        </row>
        <row r="64">
          <cell r="A64" t="str">
            <v>Kalurghat</v>
          </cell>
          <cell r="B64">
            <v>110660788.83</v>
          </cell>
        </row>
        <row r="65">
          <cell r="A65" t="str">
            <v>Kamrangirchar</v>
          </cell>
          <cell r="B65">
            <v>113605953.15</v>
          </cell>
        </row>
        <row r="66">
          <cell r="A66" t="str">
            <v>Kazipara</v>
          </cell>
          <cell r="B66">
            <v>127129772.49</v>
          </cell>
        </row>
        <row r="67">
          <cell r="A67" t="str">
            <v>Keranigonj</v>
          </cell>
          <cell r="B67">
            <v>146409432.89</v>
          </cell>
        </row>
        <row r="68">
          <cell r="A68" t="str">
            <v>Keshobpur</v>
          </cell>
          <cell r="B68">
            <v>164735117.71</v>
          </cell>
        </row>
        <row r="69">
          <cell r="A69" t="str">
            <v>Khatungonj</v>
          </cell>
          <cell r="B69">
            <v>139014742.78</v>
          </cell>
        </row>
        <row r="70">
          <cell r="A70" t="str">
            <v>Khulna</v>
          </cell>
          <cell r="B70">
            <v>264143070.3</v>
          </cell>
        </row>
        <row r="71">
          <cell r="A71" t="str">
            <v>Konabari</v>
          </cell>
          <cell r="B71">
            <v>152491305.69</v>
          </cell>
        </row>
        <row r="72">
          <cell r="A72" t="str">
            <v>Kosba</v>
          </cell>
          <cell r="B72">
            <v>159769600.18</v>
          </cell>
        </row>
        <row r="73">
          <cell r="A73" t="str">
            <v>Kotiadi</v>
          </cell>
          <cell r="B73">
            <v>134566285.04</v>
          </cell>
        </row>
        <row r="74">
          <cell r="A74" t="str">
            <v>Kulaura </v>
          </cell>
          <cell r="B74">
            <v>95783969.18</v>
          </cell>
        </row>
        <row r="75">
          <cell r="A75" t="str">
            <v>Kurigram</v>
          </cell>
          <cell r="B75">
            <v>123830509.21</v>
          </cell>
        </row>
        <row r="76">
          <cell r="A76" t="str">
            <v>Kushtia</v>
          </cell>
          <cell r="B76">
            <v>122342770.16</v>
          </cell>
        </row>
        <row r="77">
          <cell r="A77" t="str">
            <v>Laksham</v>
          </cell>
          <cell r="B77">
            <v>89221474.21</v>
          </cell>
        </row>
        <row r="78">
          <cell r="A78" t="str">
            <v>Laxmipur</v>
          </cell>
          <cell r="B78">
            <v>97712031.51</v>
          </cell>
        </row>
        <row r="79">
          <cell r="A79" t="str">
            <v>Lohagora, CTG</v>
          </cell>
          <cell r="B79">
            <v>110320392.75</v>
          </cell>
        </row>
        <row r="80">
          <cell r="A80" t="str">
            <v>Madhabpur</v>
          </cell>
          <cell r="B80">
            <v>189469188.58</v>
          </cell>
        </row>
        <row r="81">
          <cell r="A81" t="str">
            <v>Magura</v>
          </cell>
          <cell r="B81">
            <v>66229912.25</v>
          </cell>
        </row>
        <row r="82">
          <cell r="A82" t="str">
            <v>Maijdee</v>
          </cell>
          <cell r="B82">
            <v>149097497.37</v>
          </cell>
        </row>
        <row r="83">
          <cell r="A83" t="str">
            <v>Manikgonj</v>
          </cell>
          <cell r="B83">
            <v>37556393.87</v>
          </cell>
        </row>
        <row r="84">
          <cell r="A84" t="str">
            <v>Mirpur</v>
          </cell>
          <cell r="B84">
            <v>307699172.16</v>
          </cell>
        </row>
        <row r="85">
          <cell r="A85" t="str">
            <v>Moghbazar</v>
          </cell>
          <cell r="B85">
            <v>131198050.43</v>
          </cell>
        </row>
        <row r="86">
          <cell r="A86" t="str">
            <v>Mohammadpur</v>
          </cell>
          <cell r="B86">
            <v>109067166.75</v>
          </cell>
        </row>
        <row r="87">
          <cell r="A87" t="str">
            <v>Mymensingh</v>
          </cell>
          <cell r="B87">
            <v>194591847.91</v>
          </cell>
        </row>
        <row r="88">
          <cell r="A88" t="str">
            <v>Nangolkot</v>
          </cell>
          <cell r="B88">
            <v>156057212.58</v>
          </cell>
        </row>
        <row r="89">
          <cell r="A89" t="str">
            <v>Naogaon</v>
          </cell>
          <cell r="B89">
            <v>141992011.33</v>
          </cell>
        </row>
        <row r="90">
          <cell r="A90" t="str">
            <v>Narail</v>
          </cell>
          <cell r="B90">
            <v>90523043.14</v>
          </cell>
        </row>
        <row r="91">
          <cell r="A91" t="str">
            <v>Narayangonj</v>
          </cell>
          <cell r="B91">
            <v>156043398.1</v>
          </cell>
        </row>
        <row r="92">
          <cell r="A92" t="str">
            <v>Narsingdi</v>
          </cell>
          <cell r="B92">
            <v>292867729.12</v>
          </cell>
        </row>
        <row r="93">
          <cell r="A93" t="str">
            <v>Nawabgonj</v>
          </cell>
          <cell r="B93">
            <v>146580849.26</v>
          </cell>
        </row>
        <row r="94">
          <cell r="A94" t="str">
            <v>Nawabpur</v>
          </cell>
          <cell r="B94">
            <v>137494059.69</v>
          </cell>
        </row>
        <row r="95">
          <cell r="A95" t="str">
            <v>Nondon Kanon</v>
          </cell>
          <cell r="B95">
            <v>159957822.84</v>
          </cell>
        </row>
        <row r="96">
          <cell r="A96" t="str">
            <v>Pabna</v>
          </cell>
          <cell r="B96">
            <v>217285660.23</v>
          </cell>
        </row>
        <row r="97">
          <cell r="A97" t="str">
            <v>Pahartali</v>
          </cell>
          <cell r="B97">
            <v>162278487.57</v>
          </cell>
        </row>
        <row r="98">
          <cell r="A98" t="str">
            <v>Panchaghar</v>
          </cell>
          <cell r="B98">
            <v>69785223.54</v>
          </cell>
        </row>
        <row r="99">
          <cell r="A99" t="str">
            <v>Patuakhali</v>
          </cell>
          <cell r="B99">
            <v>139310133.65</v>
          </cell>
        </row>
        <row r="100">
          <cell r="A100" t="str">
            <v>Potiya</v>
          </cell>
          <cell r="B100">
            <v>79912798.42</v>
          </cell>
        </row>
        <row r="101">
          <cell r="A101" t="str">
            <v>Rajbari</v>
          </cell>
          <cell r="B101">
            <v>87674571.76</v>
          </cell>
        </row>
        <row r="102">
          <cell r="A102" t="str">
            <v>Rajshahi</v>
          </cell>
          <cell r="B102">
            <v>222479409.37</v>
          </cell>
        </row>
        <row r="103">
          <cell r="A103" t="str">
            <v>Rangpur</v>
          </cell>
          <cell r="B103">
            <v>121166933.1</v>
          </cell>
        </row>
        <row r="104">
          <cell r="A104" t="str">
            <v>Sathkhira</v>
          </cell>
          <cell r="B104">
            <v>49023403</v>
          </cell>
        </row>
        <row r="105">
          <cell r="A105" t="str">
            <v>Savar</v>
          </cell>
          <cell r="B105">
            <v>74183292.54</v>
          </cell>
        </row>
        <row r="106">
          <cell r="A106" t="str">
            <v>Savar-2</v>
          </cell>
          <cell r="B106">
            <v>129239010.39</v>
          </cell>
        </row>
        <row r="107">
          <cell r="A107" t="str">
            <v>Shaheshtagonj</v>
          </cell>
          <cell r="B107">
            <v>165284196.8</v>
          </cell>
        </row>
        <row r="108">
          <cell r="A108" t="str">
            <v>Shambazar</v>
          </cell>
          <cell r="B108">
            <v>269828979.91</v>
          </cell>
        </row>
        <row r="109">
          <cell r="A109" t="str">
            <v>Shariatpur</v>
          </cell>
          <cell r="B109">
            <v>161496606.03</v>
          </cell>
        </row>
        <row r="110">
          <cell r="A110" t="str">
            <v>Sherpur</v>
          </cell>
          <cell r="B110">
            <v>58350805.95</v>
          </cell>
        </row>
        <row r="111">
          <cell r="A111" t="str">
            <v>Shiddirgonj</v>
          </cell>
          <cell r="B111">
            <v>157443463.33</v>
          </cell>
        </row>
        <row r="112">
          <cell r="A112" t="str">
            <v>Sirajgonj</v>
          </cell>
          <cell r="B112">
            <v>140393554.72</v>
          </cell>
        </row>
        <row r="113">
          <cell r="A113" t="str">
            <v>Sonir Akhra</v>
          </cell>
          <cell r="B113">
            <v>102502026.83</v>
          </cell>
        </row>
        <row r="114">
          <cell r="A114" t="str">
            <v>South Surma</v>
          </cell>
          <cell r="B114">
            <v>68438730.58</v>
          </cell>
        </row>
        <row r="115">
          <cell r="A115" t="str">
            <v>Sreenagar</v>
          </cell>
          <cell r="B115">
            <v>85997455.26</v>
          </cell>
        </row>
        <row r="116">
          <cell r="A116" t="str">
            <v>Sreepur</v>
          </cell>
          <cell r="B116">
            <v>167423919.94</v>
          </cell>
        </row>
        <row r="117">
          <cell r="A117" t="str">
            <v>Swarupkathi</v>
          </cell>
          <cell r="B117">
            <v>66845803.66</v>
          </cell>
        </row>
        <row r="118">
          <cell r="A118" t="str">
            <v>Syedpur</v>
          </cell>
          <cell r="B118">
            <v>89829083.32</v>
          </cell>
        </row>
        <row r="119">
          <cell r="A119" t="str">
            <v>Tangail</v>
          </cell>
          <cell r="B119">
            <v>89106455.83</v>
          </cell>
        </row>
        <row r="120">
          <cell r="A120" t="str">
            <v>Thakurgaon</v>
          </cell>
          <cell r="B120">
            <v>80116810.43</v>
          </cell>
        </row>
        <row r="121">
          <cell r="A121" t="str">
            <v>Tongi</v>
          </cell>
          <cell r="B121">
            <v>160726622.93</v>
          </cell>
        </row>
        <row r="122">
          <cell r="A122" t="str">
            <v>Zinzira</v>
          </cell>
          <cell r="B122">
            <v>75857193.82</v>
          </cell>
        </row>
        <row r="123">
          <cell r="A123" t="str">
            <v>Grand Total</v>
          </cell>
          <cell r="B123">
            <v>15174234470.02</v>
          </cell>
        </row>
      </sheetData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6"/>
  <sheetViews>
    <sheetView workbookViewId="0">
      <selection activeCell="C7" sqref="C7"/>
    </sheetView>
  </sheetViews>
  <sheetFormatPr defaultColWidth="9" defaultRowHeight="14.4"/>
  <cols>
    <col min="1" max="1" width="18.3611111111111" customWidth="1"/>
    <col min="2" max="2" width="11" customWidth="1"/>
    <col min="7" max="7" width="12" customWidth="1"/>
    <col min="9" max="9" width="6.09259259259259" customWidth="1"/>
  </cols>
  <sheetData>
    <row r="1" spans="1:20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42"/>
      <c r="L1" s="43" t="s">
        <v>1</v>
      </c>
      <c r="M1" s="43"/>
      <c r="N1" s="43"/>
      <c r="O1" s="43"/>
      <c r="P1" s="43"/>
      <c r="Q1" s="43"/>
      <c r="R1" s="43"/>
      <c r="S1" s="43"/>
      <c r="T1" s="43"/>
    </row>
    <row r="2" spans="1:20">
      <c r="A2" s="7" t="s">
        <v>2</v>
      </c>
      <c r="B2" s="21" t="s">
        <v>3</v>
      </c>
      <c r="C2" s="21" t="s">
        <v>4</v>
      </c>
      <c r="D2" s="22" t="s">
        <v>5</v>
      </c>
      <c r="E2" s="21" t="s">
        <v>6</v>
      </c>
      <c r="F2" s="22" t="s">
        <v>7</v>
      </c>
      <c r="G2" s="23" t="s">
        <v>8</v>
      </c>
      <c r="H2" s="21" t="s">
        <v>9</v>
      </c>
      <c r="I2" s="22" t="s">
        <v>10</v>
      </c>
      <c r="J2" s="21" t="s">
        <v>11</v>
      </c>
      <c r="K2" s="22" t="s">
        <v>12</v>
      </c>
      <c r="L2" s="44" t="s">
        <v>3</v>
      </c>
      <c r="M2" s="44" t="s">
        <v>4</v>
      </c>
      <c r="N2" s="45" t="s">
        <v>5</v>
      </c>
      <c r="O2" s="44" t="s">
        <v>6</v>
      </c>
      <c r="P2" s="45" t="s">
        <v>13</v>
      </c>
      <c r="Q2" s="44" t="s">
        <v>8</v>
      </c>
      <c r="R2" s="44" t="s">
        <v>9</v>
      </c>
      <c r="S2" s="45" t="s">
        <v>10</v>
      </c>
      <c r="T2" s="44" t="s">
        <v>11</v>
      </c>
    </row>
    <row r="3" spans="1:20">
      <c r="A3" s="24" t="s">
        <v>14</v>
      </c>
      <c r="B3" s="27">
        <f>VLOOKUP(A3,[1]ticket_pivot!$A$6:$V$127,2,FALSE)</f>
        <v>874827.01</v>
      </c>
      <c r="C3" s="27">
        <f>VLOOKUP(A3,[1]ticket_pivot!$A$6:$V$127,3,FALSE)</f>
        <v>515938.13</v>
      </c>
      <c r="D3" s="28">
        <f>IFERROR(C3/B3,"")</f>
        <v>0.589760174414368</v>
      </c>
      <c r="E3" s="27">
        <f>VLOOKUP(A3,[1]ticket_pivot!$A$6:$V$127,4,FALSE)</f>
        <v>478567.83</v>
      </c>
      <c r="F3" s="28">
        <f>IFERROR(E3/C3,"")</f>
        <v>0.92756825319346</v>
      </c>
      <c r="G3" s="27">
        <f>VLOOKUP(A3,[1]Sheet12!$A$5:$G$125,2,FALSE)</f>
        <v>6545105.67</v>
      </c>
      <c r="H3" s="27">
        <f>VLOOKUP(A3,[1]NPL!$A$5:$H$119,2,FALSE)</f>
        <v>666108.08</v>
      </c>
      <c r="I3" s="28">
        <f>IFERROR(H3/G3,"")</f>
        <v>0.101771936708854</v>
      </c>
      <c r="J3" s="27">
        <f>VLOOKUP(A3,[1]PAR!$A$5:$H$120,2,FALSE)</f>
        <v>1168683.7</v>
      </c>
      <c r="K3" s="28">
        <f>IFERROR(J3/G3,"")</f>
        <v>0.178558415849075</v>
      </c>
      <c r="L3" s="27">
        <f>VLOOKUP(A3,[1]ticket_pivot!$A$6:$V$127,5,FALSE)</f>
        <v>13384691.46</v>
      </c>
      <c r="M3" s="27">
        <f>VLOOKUP(A3,[1]ticket_pivot!$A$6:$V$127,6,FALSE)</f>
        <v>4838785.86</v>
      </c>
      <c r="N3" s="28">
        <f>IFERROR(M3/L3,"")</f>
        <v>0.361516429008518</v>
      </c>
      <c r="O3" s="27">
        <f>VLOOKUP(A3,[1]ticket_pivot!$A$6:$V$127,7,FALSE)</f>
        <v>4662007.57</v>
      </c>
      <c r="P3" s="28">
        <f>IFERROR(O3/M3,"")</f>
        <v>0.963466395266353</v>
      </c>
      <c r="Q3" s="27">
        <f>VLOOKUP(A3,[1]Sheet12!$A$5:$G$125,3,FALSE)</f>
        <v>85864490.97</v>
      </c>
      <c r="R3" s="27">
        <f>VLOOKUP(A3,[1]NPL!$A$5:$H$119,3,FALSE)</f>
        <v>6488535.3</v>
      </c>
      <c r="S3" s="28">
        <f>IFERROR(R3/Q3,"")</f>
        <v>0.075567155021824</v>
      </c>
      <c r="T3" s="27">
        <f>VLOOKUP(A3,[1]PAR!$A$5:$H$120,3,FALSE)</f>
        <v>6488535.3</v>
      </c>
    </row>
    <row r="4" spans="1:20">
      <c r="A4" s="24" t="s">
        <v>15</v>
      </c>
      <c r="B4" s="27">
        <f>VLOOKUP(A4,[1]ticket_pivot!$A$6:$V$127,2,FALSE)</f>
        <v>425155.56</v>
      </c>
      <c r="C4" s="27">
        <f>VLOOKUP(A4,[1]ticket_pivot!$A$6:$V$127,3,FALSE)</f>
        <v>358092.83</v>
      </c>
      <c r="D4" s="28">
        <f t="shared" ref="D4:D67" si="0">IFERROR(C4/B4,"")</f>
        <v>0.842263076601891</v>
      </c>
      <c r="E4" s="27">
        <f>VLOOKUP(A4,[1]ticket_pivot!$A$6:$V$127,4,FALSE)</f>
        <v>304686.15</v>
      </c>
      <c r="F4" s="28">
        <f t="shared" ref="F4:F67" si="1">IFERROR(E4/C4,"")</f>
        <v>0.85085800237888</v>
      </c>
      <c r="G4" s="27">
        <f>VLOOKUP(A4,[1]Sheet12!$A$5:$G$125,2,FALSE)</f>
        <v>2993566.97</v>
      </c>
      <c r="H4" s="27">
        <f>VLOOKUP(A4,[1]NPL!$A$5:$H$119,2,FALSE)</f>
        <v>215494.88</v>
      </c>
      <c r="I4" s="28">
        <f t="shared" ref="I4:I67" si="2">IFERROR(H4/G4,"")</f>
        <v>0.0719859893430077</v>
      </c>
      <c r="J4" s="27">
        <f>VLOOKUP(A4,[1]PAR!$A$5:$H$120,2,FALSE)</f>
        <v>215494.88</v>
      </c>
      <c r="K4" s="28">
        <f t="shared" ref="K4:K67" si="3">IFERROR(J4/G4,"")</f>
        <v>0.0719859893430077</v>
      </c>
      <c r="L4" s="27">
        <f>VLOOKUP(A4,[1]ticket_pivot!$A$6:$V$127,5,FALSE)</f>
        <v>6856227.48</v>
      </c>
      <c r="M4" s="27">
        <f>VLOOKUP(A4,[1]ticket_pivot!$A$6:$V$127,6,FALSE)</f>
        <v>5342307.68</v>
      </c>
      <c r="N4" s="28">
        <f t="shared" ref="N4:N67" si="4">IFERROR(M4/L4,"")</f>
        <v>0.779190552761531</v>
      </c>
      <c r="O4" s="27">
        <f>VLOOKUP(A4,[1]ticket_pivot!$A$6:$V$127,7,FALSE)</f>
        <v>5194803.55</v>
      </c>
      <c r="P4" s="28">
        <f t="shared" ref="P4:P67" si="5">IFERROR(O4/M4,"")</f>
        <v>0.972389435645534</v>
      </c>
      <c r="Q4" s="27">
        <f>VLOOKUP(A4,[1]Sheet12!$A$5:$G$125,3,FALSE)</f>
        <v>114491473.98</v>
      </c>
      <c r="R4" s="27">
        <f>VLOOKUP(A4,[1]NPL!$A$5:$H$119,3,FALSE)</f>
        <v>644678.33</v>
      </c>
      <c r="S4" s="28">
        <f t="shared" ref="S4:S67" si="6">IFERROR(R4/Q4,"")</f>
        <v>0.00563079771435746</v>
      </c>
      <c r="T4" s="27">
        <f>VLOOKUP(A4,[1]PAR!$A$5:$H$120,3,FALSE)</f>
        <v>2254136.19</v>
      </c>
    </row>
    <row r="5" spans="1:20">
      <c r="A5" s="29" t="s">
        <v>16</v>
      </c>
      <c r="B5" s="30">
        <f>SUM(B3:B4)</f>
        <v>1299982.57</v>
      </c>
      <c r="C5" s="30">
        <f t="shared" ref="C5:T5" si="7">SUM(C3:C4)</f>
        <v>874030.96</v>
      </c>
      <c r="D5" s="31">
        <f t="shared" si="0"/>
        <v>0.672340522227156</v>
      </c>
      <c r="E5" s="30">
        <f t="shared" si="7"/>
        <v>783253.98</v>
      </c>
      <c r="F5" s="31">
        <f t="shared" si="1"/>
        <v>0.89613985756294</v>
      </c>
      <c r="G5" s="30">
        <f>SUM(G3:G4)</f>
        <v>9538672.64</v>
      </c>
      <c r="H5" s="30">
        <f>SUM(H3:H4)</f>
        <v>881602.96</v>
      </c>
      <c r="I5" s="31">
        <f t="shared" si="2"/>
        <v>0.092424071280425</v>
      </c>
      <c r="J5" s="30">
        <f t="shared" si="7"/>
        <v>1384178.58</v>
      </c>
      <c r="K5" s="31">
        <f t="shared" si="3"/>
        <v>0.14511228472141</v>
      </c>
      <c r="L5" s="30">
        <f t="shared" si="7"/>
        <v>20240918.94</v>
      </c>
      <c r="M5" s="30">
        <f t="shared" si="7"/>
        <v>10181093.54</v>
      </c>
      <c r="N5" s="31">
        <f t="shared" si="4"/>
        <v>0.502995618439051</v>
      </c>
      <c r="O5" s="30">
        <f t="shared" si="7"/>
        <v>9856811.12</v>
      </c>
      <c r="P5" s="31">
        <f t="shared" si="5"/>
        <v>0.968148566877817</v>
      </c>
      <c r="Q5" s="30">
        <f t="shared" si="7"/>
        <v>200355964.95</v>
      </c>
      <c r="R5" s="30">
        <f t="shared" si="7"/>
        <v>7133213.63</v>
      </c>
      <c r="S5" s="31">
        <f t="shared" si="6"/>
        <v>0.0356027015805601</v>
      </c>
      <c r="T5" s="30">
        <f t="shared" si="7"/>
        <v>8742671.49</v>
      </c>
    </row>
    <row r="6" spans="1:20">
      <c r="A6" s="24" t="s">
        <v>17</v>
      </c>
      <c r="B6" s="27">
        <f>VLOOKUP(A6,[1]ticket_pivot!$A$6:$V$127,2,FALSE)</f>
        <v>1489164.67</v>
      </c>
      <c r="C6" s="27">
        <f>VLOOKUP(A6,[1]ticket_pivot!$A$6:$V$127,3,FALSE)</f>
        <v>515517.2</v>
      </c>
      <c r="D6" s="28">
        <f t="shared" si="0"/>
        <v>0.346178774171429</v>
      </c>
      <c r="E6" s="27">
        <f>VLOOKUP(A6,[1]ticket_pivot!$A$6:$V$127,4,FALSE)</f>
        <v>452821.96</v>
      </c>
      <c r="F6" s="28">
        <f t="shared" si="1"/>
        <v>0.87838380562278</v>
      </c>
      <c r="G6" s="27">
        <f>VLOOKUP(A6,[1]Sheet12!$A$5:$G$125,2,FALSE)</f>
        <v>8172414.26</v>
      </c>
      <c r="H6" s="27">
        <f>VLOOKUP(A6,[1]NPL!$A$5:$H$119,2,FALSE)</f>
        <v>0</v>
      </c>
      <c r="I6" s="28">
        <f t="shared" si="2"/>
        <v>0</v>
      </c>
      <c r="J6" s="27">
        <f>VLOOKUP(A6,[1]PAR!$A$5:$H$120,2,FALSE)</f>
        <v>747477.35</v>
      </c>
      <c r="K6" s="28">
        <f t="shared" si="3"/>
        <v>0.0914634679813698</v>
      </c>
      <c r="L6" s="27">
        <f>VLOOKUP(A6,[1]ticket_pivot!$A$6:$V$127,5,FALSE)</f>
        <v>11745644.94</v>
      </c>
      <c r="M6" s="27">
        <f>VLOOKUP(A6,[1]ticket_pivot!$A$6:$V$127,6,FALSE)</f>
        <v>8173884.85</v>
      </c>
      <c r="N6" s="28">
        <f t="shared" si="4"/>
        <v>0.695907708070051</v>
      </c>
      <c r="O6" s="27">
        <f>VLOOKUP(A6,[1]ticket_pivot!$A$6:$V$127,7,FALSE)</f>
        <v>7882054.14</v>
      </c>
      <c r="P6" s="28">
        <f t="shared" si="5"/>
        <v>0.964297183609089</v>
      </c>
      <c r="Q6" s="27">
        <f>VLOOKUP(A6,[1]Sheet12!$A$5:$G$125,3,FALSE)</f>
        <v>69024816.31</v>
      </c>
      <c r="R6" s="27">
        <f>VLOOKUP(A6,[1]NPL!$A$5:$H$119,3,FALSE)</f>
        <v>2364939.79</v>
      </c>
      <c r="S6" s="28">
        <f t="shared" si="6"/>
        <v>0.0342621670933354</v>
      </c>
      <c r="T6" s="27">
        <f>VLOOKUP(A6,[1]PAR!$A$5:$H$120,3,FALSE)</f>
        <v>4313222.6</v>
      </c>
    </row>
    <row r="7" spans="1:20">
      <c r="A7" s="24" t="s">
        <v>18</v>
      </c>
      <c r="B7" s="27">
        <f>VLOOKUP(A7,[1]ticket_pivot!$A$6:$V$127,2,FALSE)</f>
        <v>965304.02</v>
      </c>
      <c r="C7" s="27">
        <f>VLOOKUP(A7,[1]ticket_pivot!$A$6:$V$127,3,FALSE)</f>
        <v>541897.95</v>
      </c>
      <c r="D7" s="28">
        <f t="shared" si="0"/>
        <v>0.561375420357205</v>
      </c>
      <c r="E7" s="27">
        <f>VLOOKUP(A7,[1]ticket_pivot!$A$6:$V$127,4,FALSE)</f>
        <v>428639.34</v>
      </c>
      <c r="F7" s="28">
        <f t="shared" si="1"/>
        <v>0.790996422850465</v>
      </c>
      <c r="G7" s="27">
        <f>VLOOKUP(A7,[1]Sheet12!$A$5:$G$125,2,FALSE)</f>
        <v>5678402.33</v>
      </c>
      <c r="H7" s="27">
        <f>VLOOKUP(A7,[1]NPL!$A$5:$H$119,2,FALSE)</f>
        <v>261854.09</v>
      </c>
      <c r="I7" s="28">
        <f t="shared" si="2"/>
        <v>0.046114043137905</v>
      </c>
      <c r="J7" s="27">
        <f>VLOOKUP(A7,[1]PAR!$A$5:$H$120,2,FALSE)</f>
        <v>475299.97</v>
      </c>
      <c r="K7" s="28">
        <f t="shared" si="3"/>
        <v>0.0837031161897259</v>
      </c>
      <c r="L7" s="27">
        <f>VLOOKUP(A7,[1]ticket_pivot!$A$6:$V$127,5,FALSE)</f>
        <v>14599720.46</v>
      </c>
      <c r="M7" s="27">
        <f>VLOOKUP(A7,[1]ticket_pivot!$A$6:$V$127,6,FALSE)</f>
        <v>7835222.75</v>
      </c>
      <c r="N7" s="28">
        <f t="shared" si="4"/>
        <v>0.536669367846239</v>
      </c>
      <c r="O7" s="27">
        <f>VLOOKUP(A7,[1]ticket_pivot!$A$6:$V$127,7,FALSE)</f>
        <v>7381949.95</v>
      </c>
      <c r="P7" s="28">
        <f t="shared" si="5"/>
        <v>0.942149340936095</v>
      </c>
      <c r="Q7" s="27">
        <f>VLOOKUP(A7,[1]Sheet12!$A$5:$G$125,3,FALSE)</f>
        <v>91070864.97</v>
      </c>
      <c r="R7" s="27">
        <f>VLOOKUP(A7,[1]NPL!$A$5:$H$119,3,FALSE)</f>
        <v>3892263.08</v>
      </c>
      <c r="S7" s="28">
        <f t="shared" si="6"/>
        <v>0.0427388394881521</v>
      </c>
      <c r="T7" s="27">
        <f>VLOOKUP(A7,[1]PAR!$A$5:$H$120,3,FALSE)</f>
        <v>7673010.96</v>
      </c>
    </row>
    <row r="8" spans="1:20">
      <c r="A8" s="29" t="s">
        <v>19</v>
      </c>
      <c r="B8" s="30">
        <f>SUM(B6:B7)</f>
        <v>2454468.69</v>
      </c>
      <c r="C8" s="30">
        <f t="shared" ref="C8:T8" si="8">SUM(C6:C7)</f>
        <v>1057415.15</v>
      </c>
      <c r="D8" s="31">
        <f t="shared" si="0"/>
        <v>0.430812238228225</v>
      </c>
      <c r="E8" s="30">
        <f t="shared" si="8"/>
        <v>881461.3</v>
      </c>
      <c r="F8" s="31">
        <f t="shared" si="1"/>
        <v>0.833600029278945</v>
      </c>
      <c r="G8" s="30">
        <f>SUM(G6:G7)</f>
        <v>13850816.59</v>
      </c>
      <c r="H8" s="30">
        <f>SUM(H6:H7)</f>
        <v>261854.09</v>
      </c>
      <c r="I8" s="31">
        <f t="shared" si="2"/>
        <v>0.0189053178416248</v>
      </c>
      <c r="J8" s="30">
        <f t="shared" si="8"/>
        <v>1222777.32</v>
      </c>
      <c r="K8" s="31">
        <f t="shared" si="3"/>
        <v>0.08828196605266</v>
      </c>
      <c r="L8" s="30">
        <f t="shared" si="8"/>
        <v>26345365.4</v>
      </c>
      <c r="M8" s="30">
        <f t="shared" si="8"/>
        <v>16009107.6</v>
      </c>
      <c r="N8" s="31">
        <f t="shared" si="4"/>
        <v>0.607663145184541</v>
      </c>
      <c r="O8" s="30">
        <f t="shared" si="8"/>
        <v>15264004.09</v>
      </c>
      <c r="P8" s="31">
        <f t="shared" si="5"/>
        <v>0.953457523766034</v>
      </c>
      <c r="Q8" s="30">
        <f t="shared" si="8"/>
        <v>160095681.28</v>
      </c>
      <c r="R8" s="30">
        <f t="shared" si="8"/>
        <v>6257202.87</v>
      </c>
      <c r="S8" s="31">
        <f t="shared" si="6"/>
        <v>0.0390841453059339</v>
      </c>
      <c r="T8" s="30">
        <f t="shared" si="8"/>
        <v>11986233.56</v>
      </c>
    </row>
    <row r="9" spans="1:20">
      <c r="A9" s="24" t="s">
        <v>20</v>
      </c>
      <c r="B9" s="27">
        <f>VLOOKUP(A9,[1]ticket_pivot!$A$6:$V$127,2,FALSE)</f>
        <v>1067101.55</v>
      </c>
      <c r="C9" s="27">
        <f>VLOOKUP(A9,[1]ticket_pivot!$A$6:$V$127,3,FALSE)</f>
        <v>783803.78</v>
      </c>
      <c r="D9" s="28">
        <f t="shared" si="0"/>
        <v>0.734516579045359</v>
      </c>
      <c r="E9" s="27">
        <f>VLOOKUP(A9,[1]ticket_pivot!$A$6:$V$127,4,FALSE)</f>
        <v>721101.33</v>
      </c>
      <c r="F9" s="28">
        <f t="shared" si="1"/>
        <v>0.920002363346602</v>
      </c>
      <c r="G9" s="27">
        <f>VLOOKUP(A9,[1]Sheet12!$A$5:$G$125,2,FALSE)</f>
        <v>8365959.18</v>
      </c>
      <c r="H9" s="27">
        <f>VLOOKUP(A9,[1]NPL!$A$5:$H$119,2,FALSE)</f>
        <v>0</v>
      </c>
      <c r="I9" s="28">
        <f t="shared" si="2"/>
        <v>0</v>
      </c>
      <c r="J9" s="27">
        <f>VLOOKUP(A9,[1]PAR!$A$5:$H$120,2,FALSE)</f>
        <v>201019.61</v>
      </c>
      <c r="K9" s="28">
        <f t="shared" si="3"/>
        <v>0.0240282800423609</v>
      </c>
      <c r="L9" s="27">
        <f>VLOOKUP(A9,[1]ticket_pivot!$A$6:$V$127,5,FALSE)</f>
        <v>13619336.66</v>
      </c>
      <c r="M9" s="27">
        <f>VLOOKUP(A9,[1]ticket_pivot!$A$6:$V$127,6,FALSE)</f>
        <v>10319822.98</v>
      </c>
      <c r="N9" s="28">
        <f t="shared" si="4"/>
        <v>0.757733158202141</v>
      </c>
      <c r="O9" s="27">
        <f>VLOOKUP(A9,[1]ticket_pivot!$A$6:$V$127,7,FALSE)</f>
        <v>9709398.75</v>
      </c>
      <c r="P9" s="28">
        <f t="shared" si="5"/>
        <v>0.940849350693029</v>
      </c>
      <c r="Q9" s="27">
        <f>VLOOKUP(A9,[1]Sheet12!$A$5:$G$125,3,FALSE)</f>
        <v>31353956.5</v>
      </c>
      <c r="R9" s="27">
        <f>VLOOKUP(A9,[1]NPL!$A$5:$H$119,3,FALSE)</f>
        <v>1118756.31</v>
      </c>
      <c r="S9" s="28">
        <f t="shared" si="6"/>
        <v>0.0356815035448557</v>
      </c>
      <c r="T9" s="27">
        <f>VLOOKUP(A9,[1]PAR!$A$5:$H$120,3,FALSE)</f>
        <v>4364631.25</v>
      </c>
    </row>
    <row r="10" spans="1:20">
      <c r="A10" s="24" t="s">
        <v>21</v>
      </c>
      <c r="B10" s="27">
        <f>VLOOKUP(A10,[1]ticket_pivot!$A$6:$V$127,2,FALSE)</f>
        <v>766126.49</v>
      </c>
      <c r="C10" s="27">
        <f>VLOOKUP(A10,[1]ticket_pivot!$A$6:$V$127,3,FALSE)</f>
        <v>592843.68</v>
      </c>
      <c r="D10" s="28">
        <f t="shared" si="0"/>
        <v>0.773819581672473</v>
      </c>
      <c r="E10" s="27">
        <f>VLOOKUP(A10,[1]ticket_pivot!$A$6:$V$127,4,FALSE)</f>
        <v>590279.1</v>
      </c>
      <c r="F10" s="28">
        <f t="shared" si="1"/>
        <v>0.99567410417532</v>
      </c>
      <c r="G10" s="27">
        <f>VLOOKUP(A10,[1]Sheet12!$A$5:$G$125,2,FALSE)</f>
        <v>8176734.14</v>
      </c>
      <c r="H10" s="27">
        <f>VLOOKUP(A10,[1]NPL!$A$5:$H$119,2,FALSE)</f>
        <v>0</v>
      </c>
      <c r="I10" s="28">
        <f t="shared" si="2"/>
        <v>0</v>
      </c>
      <c r="J10" s="27">
        <f>VLOOKUP(A10,[1]PAR!$A$5:$H$120,2,FALSE)</f>
        <v>0</v>
      </c>
      <c r="K10" s="28">
        <f t="shared" si="3"/>
        <v>0</v>
      </c>
      <c r="L10" s="27">
        <f>VLOOKUP(A10,[1]ticket_pivot!$A$6:$V$127,5,FALSE)</f>
        <v>19155967.75</v>
      </c>
      <c r="M10" s="27">
        <f>VLOOKUP(A10,[1]ticket_pivot!$A$6:$V$127,6,FALSE)</f>
        <v>12028051.79</v>
      </c>
      <c r="N10" s="28">
        <f t="shared" si="4"/>
        <v>0.627901025256216</v>
      </c>
      <c r="O10" s="27">
        <f>VLOOKUP(A10,[1]ticket_pivot!$A$6:$V$127,7,FALSE)</f>
        <v>11366594.34</v>
      </c>
      <c r="P10" s="28">
        <f t="shared" si="5"/>
        <v>0.945007099940331</v>
      </c>
      <c r="Q10" s="27">
        <f>VLOOKUP(A10,[1]Sheet12!$A$5:$G$125,3,FALSE)</f>
        <v>72626976.92</v>
      </c>
      <c r="R10" s="27">
        <f>VLOOKUP(A10,[1]NPL!$A$5:$H$119,3,FALSE)</f>
        <v>1114230.61</v>
      </c>
      <c r="S10" s="28">
        <f t="shared" si="6"/>
        <v>0.0153418283020006</v>
      </c>
      <c r="T10" s="27">
        <f>VLOOKUP(A10,[1]PAR!$A$5:$H$120,3,FALSE)</f>
        <v>2636959.48</v>
      </c>
    </row>
    <row r="11" spans="1:20">
      <c r="A11" s="24" t="s">
        <v>22</v>
      </c>
      <c r="B11" s="27">
        <f>VLOOKUP(A11,[1]ticket_pivot!$A$6:$V$127,2,FALSE)</f>
        <v>638601.53</v>
      </c>
      <c r="C11" s="27">
        <f>VLOOKUP(A11,[1]ticket_pivot!$A$6:$V$127,3,FALSE)</f>
        <v>520107.68</v>
      </c>
      <c r="D11" s="28">
        <f t="shared" si="0"/>
        <v>0.814447907758693</v>
      </c>
      <c r="E11" s="27">
        <f>VLOOKUP(A11,[1]ticket_pivot!$A$6:$V$127,4,FALSE)</f>
        <v>519550.69</v>
      </c>
      <c r="F11" s="28">
        <f t="shared" si="1"/>
        <v>0.998929087145954</v>
      </c>
      <c r="G11" s="27">
        <f>VLOOKUP(A11,[1]Sheet12!$A$5:$G$125,2,FALSE)</f>
        <v>7469529.5</v>
      </c>
      <c r="H11" s="27">
        <f>VLOOKUP(A11,[1]NPL!$A$5:$H$119,2,FALSE)</f>
        <v>0</v>
      </c>
      <c r="I11" s="28">
        <f t="shared" si="2"/>
        <v>0</v>
      </c>
      <c r="J11" s="27">
        <f>VLOOKUP(A11,[1]PAR!$A$5:$H$120,2,FALSE)</f>
        <v>30199.34</v>
      </c>
      <c r="K11" s="28">
        <f t="shared" si="3"/>
        <v>0.00404300431506429</v>
      </c>
      <c r="L11" s="27">
        <f>VLOOKUP(A11,[1]ticket_pivot!$A$6:$V$127,5,FALSE)</f>
        <v>12690171.88</v>
      </c>
      <c r="M11" s="27">
        <f>VLOOKUP(A11,[1]ticket_pivot!$A$6:$V$127,6,FALSE)</f>
        <v>10326355.45</v>
      </c>
      <c r="N11" s="28">
        <f t="shared" si="4"/>
        <v>0.813728572603068</v>
      </c>
      <c r="O11" s="27">
        <f>VLOOKUP(A11,[1]ticket_pivot!$A$6:$V$127,7,FALSE)</f>
        <v>10216881.96</v>
      </c>
      <c r="P11" s="28">
        <f t="shared" si="5"/>
        <v>0.989398632409075</v>
      </c>
      <c r="Q11" s="27">
        <f>VLOOKUP(A11,[1]Sheet12!$A$5:$G$125,3,FALSE)</f>
        <v>48859067.12</v>
      </c>
      <c r="R11" s="27">
        <f>VLOOKUP(A11,[1]NPL!$A$5:$H$119,3,FALSE)</f>
        <v>946343.28</v>
      </c>
      <c r="S11" s="28">
        <f t="shared" si="6"/>
        <v>0.0193688364469944</v>
      </c>
      <c r="T11" s="27">
        <f>VLOOKUP(A11,[1]PAR!$A$5:$H$120,3,FALSE)</f>
        <v>2426438.61</v>
      </c>
    </row>
    <row r="12" spans="1:20">
      <c r="A12" s="29" t="s">
        <v>23</v>
      </c>
      <c r="B12" s="30">
        <f>SUM(B9:B11)</f>
        <v>2471829.57</v>
      </c>
      <c r="C12" s="30">
        <f t="shared" ref="C12:T12" si="9">SUM(C9:C11)</f>
        <v>1896755.14</v>
      </c>
      <c r="D12" s="31">
        <f t="shared" si="0"/>
        <v>0.767348672829414</v>
      </c>
      <c r="E12" s="30">
        <f t="shared" si="9"/>
        <v>1830931.12</v>
      </c>
      <c r="F12" s="31">
        <f t="shared" si="1"/>
        <v>0.965296511599278</v>
      </c>
      <c r="G12" s="30">
        <f t="shared" si="9"/>
        <v>24012222.82</v>
      </c>
      <c r="H12" s="30">
        <f t="shared" si="9"/>
        <v>0</v>
      </c>
      <c r="I12" s="31">
        <f t="shared" si="2"/>
        <v>0</v>
      </c>
      <c r="J12" s="30">
        <f t="shared" si="9"/>
        <v>231218.95</v>
      </c>
      <c r="K12" s="31">
        <f t="shared" si="3"/>
        <v>0.00962921890793948</v>
      </c>
      <c r="L12" s="30">
        <f t="shared" si="9"/>
        <v>45465476.29</v>
      </c>
      <c r="M12" s="30">
        <f t="shared" si="9"/>
        <v>32674230.22</v>
      </c>
      <c r="N12" s="31">
        <f t="shared" si="4"/>
        <v>0.718660242589092</v>
      </c>
      <c r="O12" s="30">
        <f t="shared" si="9"/>
        <v>31292875.05</v>
      </c>
      <c r="P12" s="31">
        <f t="shared" si="5"/>
        <v>0.957723405855344</v>
      </c>
      <c r="Q12" s="30">
        <f t="shared" si="9"/>
        <v>152840000.54</v>
      </c>
      <c r="R12" s="30">
        <f t="shared" si="9"/>
        <v>3179330.2</v>
      </c>
      <c r="S12" s="31">
        <f t="shared" si="6"/>
        <v>0.0208016892748435</v>
      </c>
      <c r="T12" s="30">
        <f t="shared" si="9"/>
        <v>9428029.34</v>
      </c>
    </row>
    <row r="13" spans="1:20">
      <c r="A13" s="32" t="s">
        <v>24</v>
      </c>
      <c r="B13" s="33">
        <f>SUM(B12,B8,B5)</f>
        <v>6226280.83</v>
      </c>
      <c r="C13" s="33">
        <f t="shared" ref="C13:T13" si="10">SUM(C12,C8,C5)</f>
        <v>3828201.25</v>
      </c>
      <c r="D13" s="34">
        <f t="shared" si="0"/>
        <v>0.614845580294842</v>
      </c>
      <c r="E13" s="33">
        <f t="shared" si="10"/>
        <v>3495646.4</v>
      </c>
      <c r="F13" s="34">
        <f t="shared" si="1"/>
        <v>0.913130259282999</v>
      </c>
      <c r="G13" s="33">
        <f t="shared" si="10"/>
        <v>47401712.05</v>
      </c>
      <c r="H13" s="33">
        <f t="shared" si="10"/>
        <v>1143457.05</v>
      </c>
      <c r="I13" s="34">
        <f t="shared" si="2"/>
        <v>0.0241226951632858</v>
      </c>
      <c r="J13" s="33">
        <f t="shared" si="10"/>
        <v>2838174.85</v>
      </c>
      <c r="K13" s="34">
        <f t="shared" si="3"/>
        <v>0.0598749439051115</v>
      </c>
      <c r="L13" s="33">
        <f t="shared" si="10"/>
        <v>92051760.63</v>
      </c>
      <c r="M13" s="33">
        <f t="shared" si="10"/>
        <v>58864431.36</v>
      </c>
      <c r="N13" s="34">
        <f t="shared" si="4"/>
        <v>0.639470999328348</v>
      </c>
      <c r="O13" s="33">
        <f t="shared" si="10"/>
        <v>56413690.26</v>
      </c>
      <c r="P13" s="34">
        <f t="shared" si="5"/>
        <v>0.958366350555365</v>
      </c>
      <c r="Q13" s="33">
        <f t="shared" si="10"/>
        <v>513291646.77</v>
      </c>
      <c r="R13" s="33">
        <f t="shared" si="10"/>
        <v>16569746.7</v>
      </c>
      <c r="S13" s="34">
        <f t="shared" si="6"/>
        <v>0.032281348828232</v>
      </c>
      <c r="T13" s="33">
        <f t="shared" si="10"/>
        <v>30156934.39</v>
      </c>
    </row>
    <row r="14" spans="1:20">
      <c r="A14" s="24" t="s">
        <v>25</v>
      </c>
      <c r="B14" s="27">
        <f>VLOOKUP(A14,[1]ticket_pivot!$A$6:$V$127,2,FALSE)</f>
        <v>2542011.18</v>
      </c>
      <c r="C14" s="27">
        <f>VLOOKUP(A14,[1]ticket_pivot!$A$6:$V$127,3,FALSE)</f>
        <v>1288476.06</v>
      </c>
      <c r="D14" s="28">
        <f t="shared" si="0"/>
        <v>0.506872695972958</v>
      </c>
      <c r="E14" s="27">
        <f>VLOOKUP(A14,[1]ticket_pivot!$A$6:$V$127,4,FALSE)</f>
        <v>1161555.88</v>
      </c>
      <c r="F14" s="28">
        <f t="shared" si="1"/>
        <v>0.901495895857002</v>
      </c>
      <c r="G14" s="27">
        <f>VLOOKUP(A14,[1]Sheet12!$A$5:$G$125,2,FALSE)</f>
        <v>13472169.6</v>
      </c>
      <c r="H14" s="27">
        <f>VLOOKUP(A14,[1]NPL!$A$5:$H$119,2,FALSE)</f>
        <v>1135557.88</v>
      </c>
      <c r="I14" s="28">
        <f t="shared" si="2"/>
        <v>0.084289161561624</v>
      </c>
      <c r="J14" s="27">
        <f>VLOOKUP(A14,[1]PAR!$A$5:$H$120,2,FALSE)</f>
        <v>1586649.13</v>
      </c>
      <c r="K14" s="28">
        <f t="shared" si="3"/>
        <v>0.117772354201954</v>
      </c>
      <c r="L14" s="27">
        <f>VLOOKUP(A14,[1]ticket_pivot!$A$6:$V$127,5,FALSE)</f>
        <v>15761562.38</v>
      </c>
      <c r="M14" s="27">
        <f>VLOOKUP(A14,[1]ticket_pivot!$A$6:$V$127,6,FALSE)</f>
        <v>10438344.2</v>
      </c>
      <c r="N14" s="28">
        <f t="shared" si="4"/>
        <v>0.662265830527393</v>
      </c>
      <c r="O14" s="27">
        <f>VLOOKUP(A14,[1]ticket_pivot!$A$6:$V$127,7,FALSE)</f>
        <v>10011959.21</v>
      </c>
      <c r="P14" s="28">
        <f t="shared" si="5"/>
        <v>0.959152047314171</v>
      </c>
      <c r="Q14" s="27">
        <f>VLOOKUP(A14,[1]Sheet12!$A$5:$G$125,3,FALSE)</f>
        <v>38471282.01</v>
      </c>
      <c r="R14" s="27">
        <f>VLOOKUP(A14,[1]NPL!$A$5:$H$119,3,FALSE)</f>
        <v>3148246.88</v>
      </c>
      <c r="S14" s="28">
        <f t="shared" si="6"/>
        <v>0.0818336877669339</v>
      </c>
      <c r="T14" s="27">
        <f>VLOOKUP(A14,[1]PAR!$A$5:$H$120,3,FALSE)</f>
        <v>8994070.72</v>
      </c>
    </row>
    <row r="15" spans="1:20">
      <c r="A15" s="24" t="s">
        <v>26</v>
      </c>
      <c r="B15" s="27">
        <f>VLOOKUP(A15,[1]ticket_pivot!$A$6:$V$127,2,FALSE)</f>
        <v>2293350.36</v>
      </c>
      <c r="C15" s="27">
        <f>VLOOKUP(A15,[1]ticket_pivot!$A$6:$V$127,3,FALSE)</f>
        <v>1202210.6</v>
      </c>
      <c r="D15" s="28">
        <f t="shared" si="0"/>
        <v>0.52421584637421</v>
      </c>
      <c r="E15" s="27">
        <f>VLOOKUP(A15,[1]ticket_pivot!$A$6:$V$127,4,FALSE)</f>
        <v>1121714.77</v>
      </c>
      <c r="F15" s="28">
        <f t="shared" si="1"/>
        <v>0.933043486723541</v>
      </c>
      <c r="G15" s="27">
        <f>VLOOKUP(A15,[1]Sheet12!$A$5:$G$125,2,FALSE)</f>
        <v>18977755.07</v>
      </c>
      <c r="H15" s="27">
        <f>VLOOKUP(A15,[1]NPL!$A$5:$H$119,2,FALSE)</f>
        <v>636331.24</v>
      </c>
      <c r="I15" s="28">
        <f t="shared" si="2"/>
        <v>0.0335303747810462</v>
      </c>
      <c r="J15" s="27">
        <f>VLOOKUP(A15,[1]PAR!$A$5:$H$120,2,FALSE)</f>
        <v>1195826.4</v>
      </c>
      <c r="K15" s="28">
        <f t="shared" si="3"/>
        <v>0.0630120051391305</v>
      </c>
      <c r="L15" s="27">
        <f>VLOOKUP(A15,[1]ticket_pivot!$A$6:$V$127,5,FALSE)</f>
        <v>8795100.58</v>
      </c>
      <c r="M15" s="27">
        <f>VLOOKUP(A15,[1]ticket_pivot!$A$6:$V$127,6,FALSE)</f>
        <v>6161552.37</v>
      </c>
      <c r="N15" s="28">
        <f t="shared" si="4"/>
        <v>0.70056644764374</v>
      </c>
      <c r="O15" s="27">
        <f>VLOOKUP(A15,[1]ticket_pivot!$A$6:$V$127,7,FALSE)</f>
        <v>6155555.55</v>
      </c>
      <c r="P15" s="28">
        <f t="shared" si="5"/>
        <v>0.999026735530286</v>
      </c>
      <c r="Q15" s="27">
        <f>VLOOKUP(A15,[1]Sheet12!$A$5:$G$125,3,FALSE)</f>
        <v>88356580.52</v>
      </c>
      <c r="R15" s="27">
        <f>VLOOKUP(A15,[1]NPL!$A$5:$H$119,3,FALSE)</f>
        <v>3028870.89</v>
      </c>
      <c r="S15" s="28">
        <f t="shared" si="6"/>
        <v>0.0342800827303904</v>
      </c>
      <c r="T15" s="27">
        <f>VLOOKUP(A15,[1]PAR!$A$5:$H$120,3,FALSE)</f>
        <v>4633720.28</v>
      </c>
    </row>
    <row r="16" spans="1:20">
      <c r="A16" s="24" t="s">
        <v>27</v>
      </c>
      <c r="B16" s="27">
        <f>VLOOKUP(A16,[1]ticket_pivot!$A$6:$V$127,2,FALSE)</f>
        <v>2196212.1</v>
      </c>
      <c r="C16" s="27">
        <f>VLOOKUP(A16,[1]ticket_pivot!$A$6:$V$127,3,FALSE)</f>
        <v>1275320.37</v>
      </c>
      <c r="D16" s="28">
        <f t="shared" si="0"/>
        <v>0.580690895018746</v>
      </c>
      <c r="E16" s="27">
        <f>VLOOKUP(A16,[1]ticket_pivot!$A$6:$V$127,4,FALSE)</f>
        <v>1273195.73</v>
      </c>
      <c r="F16" s="28">
        <f t="shared" si="1"/>
        <v>0.998334034294457</v>
      </c>
      <c r="G16" s="27">
        <f>VLOOKUP(A16,[1]Sheet12!$A$5:$G$125,2,FALSE)</f>
        <v>9551557.31</v>
      </c>
      <c r="H16" s="27">
        <f>VLOOKUP(A16,[1]NPL!$A$5:$H$119,2,FALSE)</f>
        <v>526220.73</v>
      </c>
      <c r="I16" s="28">
        <f t="shared" si="2"/>
        <v>0.0550926632088647</v>
      </c>
      <c r="J16" s="27">
        <f>VLOOKUP(A16,[1]PAR!$A$5:$H$120,2,FALSE)</f>
        <v>526220.73</v>
      </c>
      <c r="K16" s="28">
        <f t="shared" si="3"/>
        <v>0.0550926632088647</v>
      </c>
      <c r="L16" s="27">
        <f>VLOOKUP(A16,[1]ticket_pivot!$A$6:$V$127,5,FALSE)</f>
        <v>25915934.11</v>
      </c>
      <c r="M16" s="27">
        <f>VLOOKUP(A16,[1]ticket_pivot!$A$6:$V$127,6,FALSE)</f>
        <v>14714556.99</v>
      </c>
      <c r="N16" s="28">
        <f t="shared" si="4"/>
        <v>0.567780305643013</v>
      </c>
      <c r="O16" s="27">
        <f>VLOOKUP(A16,[1]ticket_pivot!$A$6:$V$127,7,FALSE)</f>
        <v>14520384.58</v>
      </c>
      <c r="P16" s="28">
        <f t="shared" si="5"/>
        <v>0.986804060079284</v>
      </c>
      <c r="Q16" s="27">
        <f>VLOOKUP(A16,[1]Sheet12!$A$5:$G$125,3,FALSE)</f>
        <v>65420654.05</v>
      </c>
      <c r="R16" s="27">
        <f>VLOOKUP(A16,[1]NPL!$A$5:$H$119,3,FALSE)</f>
        <v>2913275.89</v>
      </c>
      <c r="S16" s="28">
        <f t="shared" si="6"/>
        <v>0.0445314393795792</v>
      </c>
      <c r="T16" s="27">
        <f>VLOOKUP(A16,[1]PAR!$A$5:$H$120,3,FALSE)</f>
        <v>4436771.81</v>
      </c>
    </row>
    <row r="17" spans="1:20">
      <c r="A17" s="24" t="s">
        <v>28</v>
      </c>
      <c r="B17" s="27">
        <f>VLOOKUP(A17,[1]ticket_pivot!$A$6:$V$127,2,FALSE)</f>
        <v>5714995.48</v>
      </c>
      <c r="C17" s="27">
        <f>VLOOKUP(A17,[1]ticket_pivot!$A$6:$V$127,3,FALSE)</f>
        <v>2434523.02</v>
      </c>
      <c r="D17" s="28">
        <f t="shared" si="0"/>
        <v>0.425988616879886</v>
      </c>
      <c r="E17" s="27">
        <f>VLOOKUP(A17,[1]ticket_pivot!$A$6:$V$127,4,FALSE)</f>
        <v>2433239.56</v>
      </c>
      <c r="F17" s="28">
        <f t="shared" si="1"/>
        <v>0.999472808435387</v>
      </c>
      <c r="G17" s="27">
        <f>VLOOKUP(A17,[1]Sheet12!$A$5:$G$125,2,FALSE)</f>
        <v>18300342.61</v>
      </c>
      <c r="H17" s="27">
        <f>VLOOKUP(A17,[1]NPL!$A$5:$H$119,2,FALSE)</f>
        <v>768978.71</v>
      </c>
      <c r="I17" s="28">
        <f t="shared" si="2"/>
        <v>0.0420199078447745</v>
      </c>
      <c r="J17" s="27">
        <f>VLOOKUP(A17,[1]PAR!$A$5:$H$120,2,FALSE)</f>
        <v>1273791.35</v>
      </c>
      <c r="K17" s="28">
        <f t="shared" si="3"/>
        <v>0.0696047815686222</v>
      </c>
      <c r="L17" s="27">
        <f>VLOOKUP(A17,[1]ticket_pivot!$A$6:$V$127,5,FALSE)</f>
        <v>26102368.72</v>
      </c>
      <c r="M17" s="27">
        <f>VLOOKUP(A17,[1]ticket_pivot!$A$6:$V$127,6,FALSE)</f>
        <v>12061370.22</v>
      </c>
      <c r="N17" s="28">
        <f t="shared" si="4"/>
        <v>0.462079528083534</v>
      </c>
      <c r="O17" s="27">
        <f>VLOOKUP(A17,[1]ticket_pivot!$A$6:$V$127,7,FALSE)</f>
        <v>11241457.56</v>
      </c>
      <c r="P17" s="28">
        <f t="shared" si="5"/>
        <v>0.932021599118114</v>
      </c>
      <c r="Q17" s="27">
        <f>VLOOKUP(A17,[1]Sheet12!$A$5:$G$125,3,FALSE)</f>
        <v>64729583.32</v>
      </c>
      <c r="R17" s="27">
        <f>VLOOKUP(A17,[1]NPL!$A$5:$H$119,3,FALSE)</f>
        <v>5170746.96</v>
      </c>
      <c r="S17" s="28">
        <f t="shared" si="6"/>
        <v>0.0798822840313627</v>
      </c>
      <c r="T17" s="27">
        <f>VLOOKUP(A17,[1]PAR!$A$5:$H$120,3,FALSE)</f>
        <v>9327354.51</v>
      </c>
    </row>
    <row r="18" spans="1:20">
      <c r="A18" s="29" t="s">
        <v>29</v>
      </c>
      <c r="B18" s="30">
        <f>SUM(B14:B17)</f>
        <v>12746569.12</v>
      </c>
      <c r="C18" s="30">
        <f t="shared" ref="C18:T18" si="11">SUM(C14:C17)</f>
        <v>6200530.05</v>
      </c>
      <c r="D18" s="31">
        <f t="shared" si="0"/>
        <v>0.486446979703037</v>
      </c>
      <c r="E18" s="30">
        <f>SUM(E14:E17)</f>
        <v>5989705.94</v>
      </c>
      <c r="F18" s="31">
        <f t="shared" si="1"/>
        <v>0.965999018100073</v>
      </c>
      <c r="G18" s="30">
        <f>SUM(G14:G17)</f>
        <v>60301824.59</v>
      </c>
      <c r="H18" s="30">
        <f t="shared" si="11"/>
        <v>3067088.56</v>
      </c>
      <c r="I18" s="31">
        <f t="shared" si="2"/>
        <v>0.050862284530419</v>
      </c>
      <c r="J18" s="30">
        <f t="shared" si="11"/>
        <v>4582487.61</v>
      </c>
      <c r="K18" s="31">
        <f t="shared" si="3"/>
        <v>0.0759925199802317</v>
      </c>
      <c r="L18" s="30">
        <f t="shared" si="11"/>
        <v>76574965.79</v>
      </c>
      <c r="M18" s="30">
        <f t="shared" si="11"/>
        <v>43375823.78</v>
      </c>
      <c r="N18" s="31">
        <f t="shared" si="4"/>
        <v>0.566449143430953</v>
      </c>
      <c r="O18" s="30">
        <f t="shared" si="11"/>
        <v>41929356.9</v>
      </c>
      <c r="P18" s="31">
        <f t="shared" si="5"/>
        <v>0.966652693737036</v>
      </c>
      <c r="Q18" s="30">
        <f t="shared" si="11"/>
        <v>256978099.9</v>
      </c>
      <c r="R18" s="30">
        <f t="shared" si="11"/>
        <v>14261140.62</v>
      </c>
      <c r="S18" s="31">
        <f t="shared" si="6"/>
        <v>0.0554955485527738</v>
      </c>
      <c r="T18" s="30">
        <f t="shared" si="11"/>
        <v>27391917.32</v>
      </c>
    </row>
    <row r="19" spans="1:20">
      <c r="A19" s="24" t="s">
        <v>30</v>
      </c>
      <c r="B19" s="27">
        <f>VLOOKUP(A19,[1]ticket_pivot!$A$6:$V$127,2,FALSE)</f>
        <v>7732322.37</v>
      </c>
      <c r="C19" s="27">
        <f>VLOOKUP(A19,[1]ticket_pivot!$A$6:$V$127,3,FALSE)</f>
        <v>5667100.92</v>
      </c>
      <c r="D19" s="28">
        <f t="shared" si="0"/>
        <v>0.732910586085665</v>
      </c>
      <c r="E19" s="27">
        <f>VLOOKUP(A19,[1]ticket_pivot!$A$6:$V$127,4,FALSE)</f>
        <v>5635112.33</v>
      </c>
      <c r="F19" s="28">
        <f t="shared" si="1"/>
        <v>0.994355387269158</v>
      </c>
      <c r="G19" s="27">
        <f>VLOOKUP(A19,[1]Sheet12!$A$5:$G$125,2,FALSE)</f>
        <v>72490064.66</v>
      </c>
      <c r="H19" s="27">
        <f>VLOOKUP(A19,[1]NPL!$A$5:$H$119,2,FALSE)</f>
        <v>1869566.52</v>
      </c>
      <c r="I19" s="28">
        <f t="shared" si="2"/>
        <v>0.0257906587443234</v>
      </c>
      <c r="J19" s="27">
        <f>VLOOKUP(A19,[1]PAR!$A$5:$H$120,2,FALSE)</f>
        <v>4049577.91</v>
      </c>
      <c r="K19" s="28">
        <f t="shared" si="3"/>
        <v>0.0558639025774598</v>
      </c>
      <c r="L19" s="27">
        <f>VLOOKUP(A19,[1]ticket_pivot!$A$6:$V$127,5,FALSE)</f>
        <v>30788827.4899999</v>
      </c>
      <c r="M19" s="27">
        <f>VLOOKUP(A19,[1]ticket_pivot!$A$6:$V$127,6,FALSE)</f>
        <v>23888425.82</v>
      </c>
      <c r="N19" s="28">
        <f t="shared" si="4"/>
        <v>0.775879686479092</v>
      </c>
      <c r="O19" s="27">
        <f>VLOOKUP(A19,[1]ticket_pivot!$A$6:$V$127,7,FALSE)</f>
        <v>23569530.11</v>
      </c>
      <c r="P19" s="28">
        <f t="shared" si="5"/>
        <v>0.986650618487677</v>
      </c>
      <c r="Q19" s="27">
        <f>VLOOKUP(A19,[1]Sheet12!$A$5:$G$125,3,FALSE)</f>
        <v>34296136.1</v>
      </c>
      <c r="R19" s="27">
        <f>VLOOKUP(A19,[1]NPL!$A$5:$H$119,3,FALSE)</f>
        <v>3361076.48</v>
      </c>
      <c r="S19" s="28">
        <f t="shared" si="6"/>
        <v>0.0980016078254366</v>
      </c>
      <c r="T19" s="27">
        <f>VLOOKUP(A19,[1]PAR!$A$5:$H$120,3,FALSE)</f>
        <v>7718620.12</v>
      </c>
    </row>
    <row r="20" spans="1:20">
      <c r="A20" s="24" t="s">
        <v>31</v>
      </c>
      <c r="B20" s="27">
        <f>VLOOKUP(A20,[1]ticket_pivot!$A$6:$V$127,2,FALSE)</f>
        <v>5849679.13</v>
      </c>
      <c r="C20" s="27">
        <f>VLOOKUP(A20,[1]ticket_pivot!$A$6:$V$127,3,FALSE)</f>
        <v>4784062.57</v>
      </c>
      <c r="D20" s="28">
        <f t="shared" si="0"/>
        <v>0.817833331312995</v>
      </c>
      <c r="E20" s="27">
        <f>VLOOKUP(A20,[1]ticket_pivot!$A$6:$V$127,4,FALSE)</f>
        <v>4694201.05</v>
      </c>
      <c r="F20" s="28">
        <f t="shared" si="1"/>
        <v>0.981216483128063</v>
      </c>
      <c r="G20" s="27">
        <f>VLOOKUP(A20,[1]Sheet12!$A$5:$G$125,2,FALSE)</f>
        <v>56806626.98</v>
      </c>
      <c r="H20" s="27">
        <f>VLOOKUP(A20,[1]NPL!$A$5:$H$119,2,FALSE)</f>
        <v>756146.93</v>
      </c>
      <c r="I20" s="28">
        <f t="shared" si="2"/>
        <v>0.013310892939766</v>
      </c>
      <c r="J20" s="27">
        <f>VLOOKUP(A20,[1]PAR!$A$5:$H$120,2,FALSE)</f>
        <v>828861.38</v>
      </c>
      <c r="K20" s="28">
        <f t="shared" si="3"/>
        <v>0.014590927574204</v>
      </c>
      <c r="L20" s="27">
        <f>VLOOKUP(A20,[1]ticket_pivot!$A$6:$V$127,5,FALSE)</f>
        <v>19527989.65</v>
      </c>
      <c r="M20" s="27">
        <f>VLOOKUP(A20,[1]ticket_pivot!$A$6:$V$127,6,FALSE)</f>
        <v>13637811.21</v>
      </c>
      <c r="N20" s="28">
        <f t="shared" si="4"/>
        <v>0.698372513219762</v>
      </c>
      <c r="O20" s="27">
        <f>VLOOKUP(A20,[1]ticket_pivot!$A$6:$V$127,7,FALSE)</f>
        <v>13329039.49</v>
      </c>
      <c r="P20" s="28">
        <f t="shared" si="5"/>
        <v>0.977359143982461</v>
      </c>
      <c r="Q20" s="27">
        <f>VLOOKUP(A20,[1]Sheet12!$A$5:$G$125,3,FALSE)</f>
        <v>19014445.16</v>
      </c>
      <c r="R20" s="27">
        <f>VLOOKUP(A20,[1]NPL!$A$5:$H$119,3,FALSE)</f>
        <v>4615496.31</v>
      </c>
      <c r="S20" s="28">
        <f t="shared" si="6"/>
        <v>0.242736312901175</v>
      </c>
      <c r="T20" s="27">
        <f>VLOOKUP(A20,[1]PAR!$A$5:$H$120,3,FALSE)</f>
        <v>9213041.15</v>
      </c>
    </row>
    <row r="21" spans="1:20">
      <c r="A21" s="24" t="s">
        <v>32</v>
      </c>
      <c r="B21" s="27">
        <f>VLOOKUP(A21,[1]ticket_pivot!$A$6:$V$127,2,FALSE)</f>
        <v>3635790.34</v>
      </c>
      <c r="C21" s="27">
        <f>VLOOKUP(A21,[1]ticket_pivot!$A$6:$V$127,3,FALSE)</f>
        <v>1377967.62</v>
      </c>
      <c r="D21" s="28">
        <f t="shared" si="0"/>
        <v>0.379000847447106</v>
      </c>
      <c r="E21" s="27">
        <f>VLOOKUP(A21,[1]ticket_pivot!$A$6:$V$127,4,FALSE)</f>
        <v>1279148.12</v>
      </c>
      <c r="F21" s="28">
        <f t="shared" si="1"/>
        <v>0.928286050727375</v>
      </c>
      <c r="G21" s="27">
        <f>VLOOKUP(A21,[1]Sheet12!$A$5:$G$125,2,FALSE)</f>
        <v>15653024.66</v>
      </c>
      <c r="H21" s="27">
        <f>VLOOKUP(A21,[1]NPL!$A$5:$H$119,2,FALSE)</f>
        <v>1811063.09</v>
      </c>
      <c r="I21" s="28">
        <f t="shared" si="2"/>
        <v>0.115700519825285</v>
      </c>
      <c r="J21" s="27">
        <f>VLOOKUP(A21,[1]PAR!$A$5:$H$120,2,FALSE)</f>
        <v>3015474.72</v>
      </c>
      <c r="K21" s="28">
        <f t="shared" si="3"/>
        <v>0.192644858453829</v>
      </c>
      <c r="L21" s="27">
        <f>VLOOKUP(A21,[1]ticket_pivot!$A$6:$V$127,5,FALSE)</f>
        <v>15105642.42</v>
      </c>
      <c r="M21" s="27">
        <f>VLOOKUP(A21,[1]ticket_pivot!$A$6:$V$127,6,FALSE)</f>
        <v>10227309.67</v>
      </c>
      <c r="N21" s="28">
        <f t="shared" si="4"/>
        <v>0.67705228189825</v>
      </c>
      <c r="O21" s="27">
        <f>VLOOKUP(A21,[1]ticket_pivot!$A$6:$V$127,7,FALSE)</f>
        <v>10121262.47</v>
      </c>
      <c r="P21" s="28">
        <f t="shared" si="5"/>
        <v>0.989630977899196</v>
      </c>
      <c r="Q21" s="27">
        <f>VLOOKUP(A21,[1]Sheet12!$A$5:$G$125,3,FALSE)</f>
        <v>32118514.13</v>
      </c>
      <c r="R21" s="27">
        <f>VLOOKUP(A21,[1]NPL!$A$5:$H$119,3,FALSE)</f>
        <v>4029395.22</v>
      </c>
      <c r="S21" s="28">
        <f t="shared" si="6"/>
        <v>0.125453973483673</v>
      </c>
      <c r="T21" s="27">
        <f>VLOOKUP(A21,[1]PAR!$A$5:$H$120,3,FALSE)</f>
        <v>6395363.65</v>
      </c>
    </row>
    <row r="22" spans="1:20">
      <c r="A22" s="24" t="s">
        <v>33</v>
      </c>
      <c r="B22" s="27">
        <f>VLOOKUP(A22,[1]ticket_pivot!$A$6:$V$127,2,FALSE)</f>
        <v>4507551.44</v>
      </c>
      <c r="C22" s="27">
        <f>VLOOKUP(A22,[1]ticket_pivot!$A$6:$V$127,3,FALSE)</f>
        <v>3324767.13</v>
      </c>
      <c r="D22" s="28">
        <f t="shared" si="0"/>
        <v>0.737599376126032</v>
      </c>
      <c r="E22" s="27">
        <f>VLOOKUP(A22,[1]ticket_pivot!$A$6:$V$127,4,FALSE)</f>
        <v>3242454.19</v>
      </c>
      <c r="F22" s="28">
        <f t="shared" si="1"/>
        <v>0.975242494652551</v>
      </c>
      <c r="G22" s="27">
        <f>VLOOKUP(A22,[1]Sheet12!$A$5:$G$125,2,FALSE)</f>
        <v>39125275.9</v>
      </c>
      <c r="H22" s="27">
        <f>VLOOKUP(A22,[1]NPL!$A$5:$H$119,2,FALSE)</f>
        <v>1186661.27</v>
      </c>
      <c r="I22" s="28">
        <f t="shared" si="2"/>
        <v>0.0303297866328912</v>
      </c>
      <c r="J22" s="27">
        <f>VLOOKUP(A22,[1]PAR!$A$5:$H$120,2,FALSE)</f>
        <v>1725827.46</v>
      </c>
      <c r="K22" s="28">
        <f t="shared" si="3"/>
        <v>0.0441102949513003</v>
      </c>
      <c r="L22" s="27">
        <f>VLOOKUP(A22,[1]ticket_pivot!$A$6:$V$127,5,FALSE)</f>
        <v>11698357.26</v>
      </c>
      <c r="M22" s="27">
        <f>VLOOKUP(A22,[1]ticket_pivot!$A$6:$V$127,6,FALSE)</f>
        <v>8198647.59</v>
      </c>
      <c r="N22" s="28">
        <f t="shared" si="4"/>
        <v>0.700837511437055</v>
      </c>
      <c r="O22" s="27">
        <f>VLOOKUP(A22,[1]ticket_pivot!$A$6:$V$127,7,FALSE)</f>
        <v>7968990.99</v>
      </c>
      <c r="P22" s="28">
        <f t="shared" si="5"/>
        <v>0.971988477675256</v>
      </c>
      <c r="Q22" s="27">
        <f>VLOOKUP(A22,[1]Sheet12!$A$5:$G$125,3,FALSE)</f>
        <v>39118684.45</v>
      </c>
      <c r="R22" s="27">
        <f>VLOOKUP(A22,[1]NPL!$A$5:$H$119,3,FALSE)</f>
        <v>4236126.09</v>
      </c>
      <c r="S22" s="28">
        <f t="shared" si="6"/>
        <v>0.108289073356095</v>
      </c>
      <c r="T22" s="27">
        <f>VLOOKUP(A22,[1]PAR!$A$5:$H$120,3,FALSE)</f>
        <v>5105396.92</v>
      </c>
    </row>
    <row r="23" spans="1:20">
      <c r="A23" s="24" t="s">
        <v>34</v>
      </c>
      <c r="B23" s="27">
        <f>VLOOKUP(A23,[1]ticket_pivot!$A$6:$V$127,2,FALSE)</f>
        <v>2015343.45</v>
      </c>
      <c r="C23" s="27">
        <f>VLOOKUP(A23,[1]ticket_pivot!$A$6:$V$127,3,FALSE)</f>
        <v>1127227.08</v>
      </c>
      <c r="D23" s="28">
        <f t="shared" si="0"/>
        <v>0.559322571048622</v>
      </c>
      <c r="E23" s="27">
        <f>VLOOKUP(A23,[1]ticket_pivot!$A$6:$V$127,4,FALSE)</f>
        <v>1126377.51</v>
      </c>
      <c r="F23" s="28">
        <f t="shared" si="1"/>
        <v>0.999246318674317</v>
      </c>
      <c r="G23" s="27">
        <f>VLOOKUP(A23,[1]Sheet12!$A$5:$G$125,2,FALSE)</f>
        <v>12867777.48</v>
      </c>
      <c r="H23" s="27">
        <f>VLOOKUP(A23,[1]NPL!$A$5:$H$119,2,FALSE)</f>
        <v>763029.81</v>
      </c>
      <c r="I23" s="28">
        <f t="shared" si="2"/>
        <v>0.0592977156456081</v>
      </c>
      <c r="J23" s="27">
        <f>VLOOKUP(A23,[1]PAR!$A$5:$H$120,2,FALSE)</f>
        <v>763029.81</v>
      </c>
      <c r="K23" s="28">
        <f t="shared" si="3"/>
        <v>0.0592977156456081</v>
      </c>
      <c r="L23" s="27">
        <f>VLOOKUP(A23,[1]ticket_pivot!$A$6:$V$127,5,FALSE)</f>
        <v>22062314.32</v>
      </c>
      <c r="M23" s="27">
        <f>VLOOKUP(A23,[1]ticket_pivot!$A$6:$V$127,6,FALSE)</f>
        <v>20031963.34</v>
      </c>
      <c r="N23" s="28">
        <f t="shared" si="4"/>
        <v>0.907971985597202</v>
      </c>
      <c r="O23" s="27">
        <f>VLOOKUP(A23,[1]ticket_pivot!$A$6:$V$127,7,FALSE)</f>
        <v>19824151.62</v>
      </c>
      <c r="P23" s="28">
        <f t="shared" si="5"/>
        <v>0.989625993395014</v>
      </c>
      <c r="Q23" s="27">
        <f>VLOOKUP(A23,[1]Sheet12!$A$5:$G$125,3,FALSE)</f>
        <v>51628608.56</v>
      </c>
      <c r="R23" s="27">
        <f>VLOOKUP(A23,[1]NPL!$A$5:$H$119,3,FALSE)</f>
        <v>1226485.09</v>
      </c>
      <c r="S23" s="28">
        <f t="shared" si="6"/>
        <v>0.0237559199096881</v>
      </c>
      <c r="T23" s="27">
        <f>VLOOKUP(A23,[1]PAR!$A$5:$H$120,3,FALSE)</f>
        <v>4188617.09</v>
      </c>
    </row>
    <row r="24" spans="1:20">
      <c r="A24" s="29" t="s">
        <v>35</v>
      </c>
      <c r="B24" s="30">
        <f>SUM(B19:B23)</f>
        <v>23740686.73</v>
      </c>
      <c r="C24" s="30">
        <f t="shared" ref="C24:T24" si="12">SUM(C19:C23)</f>
        <v>16281125.32</v>
      </c>
      <c r="D24" s="31">
        <f t="shared" si="0"/>
        <v>0.685789990203876</v>
      </c>
      <c r="E24" s="30">
        <f t="shared" si="12"/>
        <v>15977293.2</v>
      </c>
      <c r="F24" s="31">
        <f t="shared" si="1"/>
        <v>0.981338383310227</v>
      </c>
      <c r="G24" s="30">
        <f>SUM(G19:G23)</f>
        <v>196942769.68</v>
      </c>
      <c r="H24" s="30">
        <f t="shared" ref="H24" si="13">SUM(H20:H23)</f>
        <v>4516901.1</v>
      </c>
      <c r="I24" s="31">
        <f t="shared" si="2"/>
        <v>0.0229350948366332</v>
      </c>
      <c r="J24" s="30">
        <f t="shared" ref="J24" si="14">SUM(J20:J23)</f>
        <v>6333193.37</v>
      </c>
      <c r="K24" s="31">
        <f t="shared" si="3"/>
        <v>0.0321575317554963</v>
      </c>
      <c r="L24" s="30">
        <f t="shared" si="12"/>
        <v>99183131.1399999</v>
      </c>
      <c r="M24" s="30">
        <f t="shared" si="12"/>
        <v>75984157.63</v>
      </c>
      <c r="N24" s="31">
        <f t="shared" si="4"/>
        <v>0.766099605413204</v>
      </c>
      <c r="O24" s="30">
        <f t="shared" si="12"/>
        <v>74812974.68</v>
      </c>
      <c r="P24" s="31">
        <f t="shared" si="5"/>
        <v>0.984586485044646</v>
      </c>
      <c r="Q24" s="30">
        <f t="shared" si="12"/>
        <v>176176388.4</v>
      </c>
      <c r="R24" s="30">
        <f t="shared" si="12"/>
        <v>17468579.19</v>
      </c>
      <c r="S24" s="31">
        <f t="shared" si="6"/>
        <v>0.0991539181194839</v>
      </c>
      <c r="T24" s="30">
        <f t="shared" si="12"/>
        <v>32621038.93</v>
      </c>
    </row>
    <row r="25" spans="1:20">
      <c r="A25" s="24" t="s">
        <v>36</v>
      </c>
      <c r="B25" s="27">
        <f>VLOOKUP(A25,[1]ticket_pivot!$A$6:$V$127,2,FALSE)</f>
        <v>2788558.28</v>
      </c>
      <c r="C25" s="27">
        <f>VLOOKUP(A25,[1]ticket_pivot!$A$6:$V$127,3,FALSE)</f>
        <v>2486188.39</v>
      </c>
      <c r="D25" s="28">
        <f t="shared" si="0"/>
        <v>0.89156766341638</v>
      </c>
      <c r="E25" s="27">
        <f>VLOOKUP(A25,[1]ticket_pivot!$A$6:$V$127,4,FALSE)</f>
        <v>2470212.18</v>
      </c>
      <c r="F25" s="28">
        <f t="shared" si="1"/>
        <v>0.993574014718973</v>
      </c>
      <c r="G25" s="27">
        <f>VLOOKUP(A25,[1]Sheet12!$A$5:$G$125,2,FALSE)</f>
        <v>26448500.09</v>
      </c>
      <c r="H25" s="27">
        <f>VLOOKUP(A25,[1]NPL!$A$5:$H$119,2,FALSE)</f>
        <v>65661.64</v>
      </c>
      <c r="I25" s="28">
        <f t="shared" si="2"/>
        <v>0.00248262244651167</v>
      </c>
      <c r="J25" s="27">
        <f>VLOOKUP(A25,[1]PAR!$A$5:$H$120,2,FALSE)</f>
        <v>201710.11</v>
      </c>
      <c r="K25" s="28">
        <f t="shared" si="3"/>
        <v>0.00762652359542556</v>
      </c>
      <c r="L25" s="27">
        <f>VLOOKUP(A25,[1]ticket_pivot!$A$6:$V$127,5,FALSE)</f>
        <v>15324269.73</v>
      </c>
      <c r="M25" s="27">
        <f>VLOOKUP(A25,[1]ticket_pivot!$A$6:$V$127,6,FALSE)</f>
        <v>13959256.79</v>
      </c>
      <c r="N25" s="28">
        <f t="shared" si="4"/>
        <v>0.91092476417798</v>
      </c>
      <c r="O25" s="27">
        <f>VLOOKUP(A25,[1]ticket_pivot!$A$6:$V$127,7,FALSE)</f>
        <v>13871747.72</v>
      </c>
      <c r="P25" s="28">
        <f t="shared" si="5"/>
        <v>0.99373110823044</v>
      </c>
      <c r="Q25" s="27">
        <f>VLOOKUP(A25,[1]Sheet12!$A$5:$G$125,3,FALSE)</f>
        <v>0</v>
      </c>
      <c r="R25" s="27">
        <f>VLOOKUP(A25,[1]NPL!$A$5:$H$119,3,FALSE)</f>
        <v>1527593.41</v>
      </c>
      <c r="S25" s="28" t="str">
        <f t="shared" si="6"/>
        <v/>
      </c>
      <c r="T25" s="27">
        <f>VLOOKUP(A25,[1]PAR!$A$5:$H$120,3,FALSE)</f>
        <v>1527593.41</v>
      </c>
    </row>
    <row r="26" spans="1:20">
      <c r="A26" s="24" t="s">
        <v>37</v>
      </c>
      <c r="B26" s="27">
        <f>VLOOKUP(A26,[1]ticket_pivot!$A$6:$V$127,2,FALSE)</f>
        <v>5965096.22</v>
      </c>
      <c r="C26" s="27">
        <f>VLOOKUP(A26,[1]ticket_pivot!$A$6:$V$127,3,FALSE)</f>
        <v>5397022.12</v>
      </c>
      <c r="D26" s="28">
        <f t="shared" si="0"/>
        <v>0.904766984630467</v>
      </c>
      <c r="E26" s="27">
        <f>VLOOKUP(A26,[1]ticket_pivot!$A$6:$V$127,4,FALSE)</f>
        <v>5365105.53</v>
      </c>
      <c r="F26" s="28">
        <f t="shared" si="1"/>
        <v>0.994086259183239</v>
      </c>
      <c r="G26" s="27">
        <f>VLOOKUP(A26,[1]Sheet12!$A$5:$G$125,2,FALSE)</f>
        <v>70716323.14</v>
      </c>
      <c r="H26" s="27">
        <f>VLOOKUP(A26,[1]NPL!$A$5:$H$119,2,FALSE)</f>
        <v>116000.81</v>
      </c>
      <c r="I26" s="28">
        <f t="shared" si="2"/>
        <v>0.00164036823252742</v>
      </c>
      <c r="J26" s="27">
        <f>VLOOKUP(A26,[1]PAR!$A$5:$H$120,2,FALSE)</f>
        <v>116000.81</v>
      </c>
      <c r="K26" s="28">
        <f t="shared" si="3"/>
        <v>0.00164036823252742</v>
      </c>
      <c r="L26" s="27">
        <f>VLOOKUP(A26,[1]ticket_pivot!$A$6:$V$127,5,FALSE)</f>
        <v>22874770.39</v>
      </c>
      <c r="M26" s="27">
        <f>VLOOKUP(A26,[1]ticket_pivot!$A$6:$V$127,6,FALSE)</f>
        <v>19499309.3</v>
      </c>
      <c r="N26" s="28">
        <f t="shared" si="4"/>
        <v>0.852437378279626</v>
      </c>
      <c r="O26" s="27">
        <f>VLOOKUP(A26,[1]ticket_pivot!$A$6:$V$127,7,FALSE)</f>
        <v>19427194.43</v>
      </c>
      <c r="P26" s="28">
        <f t="shared" si="5"/>
        <v>0.996301670541736</v>
      </c>
      <c r="Q26" s="27">
        <f>VLOOKUP(A26,[1]Sheet12!$A$5:$G$125,3,FALSE)</f>
        <v>2114463.21</v>
      </c>
      <c r="R26" s="27">
        <f>VLOOKUP(A26,[1]NPL!$A$5:$H$119,3,FALSE)</f>
        <v>2705697.53</v>
      </c>
      <c r="S26" s="28">
        <f t="shared" si="6"/>
        <v>1.2796143802379</v>
      </c>
      <c r="T26" s="27">
        <f>VLOOKUP(A26,[1]PAR!$A$5:$H$120,3,FALSE)</f>
        <v>4900536.73</v>
      </c>
    </row>
    <row r="27" spans="1:20">
      <c r="A27" s="24" t="s">
        <v>38</v>
      </c>
      <c r="B27" s="27">
        <f>VLOOKUP(A27,[1]ticket_pivot!$A$6:$V$127,2,FALSE)</f>
        <v>4111299.45</v>
      </c>
      <c r="C27" s="27">
        <f>VLOOKUP(A27,[1]ticket_pivot!$A$6:$V$127,3,FALSE)</f>
        <v>3747857.52</v>
      </c>
      <c r="D27" s="28">
        <f t="shared" si="0"/>
        <v>0.911599256045433</v>
      </c>
      <c r="E27" s="27">
        <f>VLOOKUP(A27,[1]ticket_pivot!$A$6:$V$127,4,FALSE)</f>
        <v>3717659.17</v>
      </c>
      <c r="F27" s="28">
        <f t="shared" si="1"/>
        <v>0.991942503193131</v>
      </c>
      <c r="G27" s="27">
        <f>VLOOKUP(A27,[1]Sheet12!$A$5:$G$125,2,FALSE)</f>
        <v>44291445.16</v>
      </c>
      <c r="H27" s="27">
        <f>VLOOKUP(A27,[1]NPL!$A$5:$H$119,2,FALSE)</f>
        <v>0</v>
      </c>
      <c r="I27" s="28">
        <f t="shared" si="2"/>
        <v>0</v>
      </c>
      <c r="J27" s="27">
        <f>VLOOKUP(A27,[1]PAR!$A$5:$H$120,2,FALSE)</f>
        <v>538860.01</v>
      </c>
      <c r="K27" s="28">
        <f t="shared" si="3"/>
        <v>0.0121662322837605</v>
      </c>
      <c r="L27" s="27">
        <f>VLOOKUP(A27,[1]ticket_pivot!$A$6:$V$127,5,FALSE)</f>
        <v>18453356.8</v>
      </c>
      <c r="M27" s="27">
        <f>VLOOKUP(A27,[1]ticket_pivot!$A$6:$V$127,6,FALSE)</f>
        <v>15271270.4</v>
      </c>
      <c r="N27" s="28">
        <f t="shared" si="4"/>
        <v>0.827560566107951</v>
      </c>
      <c r="O27" s="27">
        <f>VLOOKUP(A27,[1]ticket_pivot!$A$6:$V$127,7,FALSE)</f>
        <v>15161795.63</v>
      </c>
      <c r="P27" s="28">
        <f t="shared" si="5"/>
        <v>0.992831325283849</v>
      </c>
      <c r="Q27" s="27">
        <f>VLOOKUP(A27,[1]Sheet12!$A$5:$G$125,3,FALSE)</f>
        <v>0</v>
      </c>
      <c r="R27" s="27">
        <f>VLOOKUP(A27,[1]NPL!$A$5:$H$119,3,FALSE)</f>
        <v>988943.03</v>
      </c>
      <c r="S27" s="28" t="str">
        <f t="shared" si="6"/>
        <v/>
      </c>
      <c r="T27" s="27">
        <f>VLOOKUP(A27,[1]PAR!$A$5:$H$120,3,FALSE)</f>
        <v>4723039.09</v>
      </c>
    </row>
    <row r="28" spans="1:20">
      <c r="A28" s="29" t="s">
        <v>39</v>
      </c>
      <c r="B28" s="30">
        <f>SUM(B25:B27)</f>
        <v>12864953.95</v>
      </c>
      <c r="C28" s="30">
        <f t="shared" ref="C28:T28" si="15">SUM(C25:C27)</f>
        <v>11631068.03</v>
      </c>
      <c r="D28" s="31">
        <f t="shared" si="0"/>
        <v>0.904089363646731</v>
      </c>
      <c r="E28" s="30">
        <f t="shared" si="15"/>
        <v>11552976.88</v>
      </c>
      <c r="F28" s="31">
        <f t="shared" si="1"/>
        <v>0.993285986308516</v>
      </c>
      <c r="G28" s="30">
        <f>SUM(G25:G27)</f>
        <v>141456268.39</v>
      </c>
      <c r="H28" s="30">
        <f>SUM(H25:H27)</f>
        <v>181662.45</v>
      </c>
      <c r="I28" s="31">
        <f t="shared" si="2"/>
        <v>0.00128423046972475</v>
      </c>
      <c r="J28" s="30"/>
      <c r="K28" s="31">
        <f t="shared" si="3"/>
        <v>0</v>
      </c>
      <c r="L28" s="30">
        <f t="shared" si="15"/>
        <v>56652396.92</v>
      </c>
      <c r="M28" s="30">
        <f t="shared" si="15"/>
        <v>48729836.49</v>
      </c>
      <c r="N28" s="31">
        <f t="shared" si="4"/>
        <v>0.860154894395949</v>
      </c>
      <c r="O28" s="30">
        <f t="shared" si="15"/>
        <v>48460737.78</v>
      </c>
      <c r="P28" s="31">
        <f t="shared" si="5"/>
        <v>0.994477742398023</v>
      </c>
      <c r="Q28" s="30">
        <f t="shared" si="15"/>
        <v>2114463.21</v>
      </c>
      <c r="R28" s="30">
        <f t="shared" si="15"/>
        <v>5222233.97</v>
      </c>
      <c r="S28" s="31">
        <f t="shared" si="6"/>
        <v>2.46976818764324</v>
      </c>
      <c r="T28" s="30">
        <f t="shared" si="15"/>
        <v>11151169.23</v>
      </c>
    </row>
    <row r="29" spans="1:20">
      <c r="A29" s="32" t="s">
        <v>40</v>
      </c>
      <c r="B29" s="33">
        <f>SUM(B28,B24,B18)</f>
        <v>49352209.8</v>
      </c>
      <c r="C29" s="33">
        <f t="shared" ref="C29:T29" si="16">SUM(C28,C24,C18)</f>
        <v>34112723.4</v>
      </c>
      <c r="D29" s="34">
        <f t="shared" si="0"/>
        <v>0.691209644679375</v>
      </c>
      <c r="E29" s="33">
        <f t="shared" si="16"/>
        <v>33519976.02</v>
      </c>
      <c r="F29" s="34">
        <f t="shared" si="1"/>
        <v>0.982623862274215</v>
      </c>
      <c r="G29" s="33">
        <f t="shared" si="16"/>
        <v>398700862.66</v>
      </c>
      <c r="H29" s="33">
        <f t="shared" si="16"/>
        <v>7765652.11</v>
      </c>
      <c r="I29" s="34">
        <f t="shared" si="2"/>
        <v>0.0194773897858915</v>
      </c>
      <c r="J29" s="33">
        <f t="shared" si="16"/>
        <v>10915680.98</v>
      </c>
      <c r="K29" s="34">
        <f t="shared" si="3"/>
        <v>0.0273781223024555</v>
      </c>
      <c r="L29" s="33">
        <f t="shared" si="16"/>
        <v>232410493.85</v>
      </c>
      <c r="M29" s="33">
        <f t="shared" si="16"/>
        <v>168089817.9</v>
      </c>
      <c r="N29" s="34">
        <f t="shared" si="4"/>
        <v>0.72324538843107</v>
      </c>
      <c r="O29" s="33">
        <f t="shared" si="16"/>
        <v>165203069.36</v>
      </c>
      <c r="P29" s="34">
        <f t="shared" si="5"/>
        <v>0.982826154635272</v>
      </c>
      <c r="Q29" s="33">
        <f t="shared" si="16"/>
        <v>435268951.51</v>
      </c>
      <c r="R29" s="33">
        <f t="shared" si="16"/>
        <v>36951953.78</v>
      </c>
      <c r="S29" s="34">
        <f t="shared" si="6"/>
        <v>0.0848945316494762</v>
      </c>
      <c r="T29" s="33">
        <f t="shared" si="16"/>
        <v>71164125.48</v>
      </c>
    </row>
    <row r="30" spans="1:20">
      <c r="A30" s="24" t="s">
        <v>41</v>
      </c>
      <c r="B30" s="27">
        <f>VLOOKUP(A30,[1]ticket_pivot!$A$6:$V$127,2,FALSE)</f>
        <v>2084538.4</v>
      </c>
      <c r="C30" s="27">
        <f>VLOOKUP(A30,[1]ticket_pivot!$A$6:$V$127,3,FALSE)</f>
        <v>1583504.69</v>
      </c>
      <c r="D30" s="28">
        <f t="shared" si="0"/>
        <v>0.759642849467297</v>
      </c>
      <c r="E30" s="27">
        <f>VLOOKUP(A30,[1]ticket_pivot!$A$6:$V$127,4,FALSE)</f>
        <v>1554191.98</v>
      </c>
      <c r="F30" s="28">
        <f t="shared" si="1"/>
        <v>0.981488712862606</v>
      </c>
      <c r="G30" s="27">
        <f>VLOOKUP(A30,[1]Sheet12!$A$5:$G$125,2,FALSE)</f>
        <v>15659834.95</v>
      </c>
      <c r="H30" s="27">
        <f>VLOOKUP(A30,[1]NPL!$A$5:$H$119,2,FALSE)</f>
        <v>522923.41</v>
      </c>
      <c r="I30" s="28">
        <f t="shared" si="2"/>
        <v>0.0333926514340434</v>
      </c>
      <c r="J30" s="27">
        <f>VLOOKUP(A30,[1]PAR!$A$5:$H$120,2,FALSE)</f>
        <v>851846.09</v>
      </c>
      <c r="K30" s="28">
        <f t="shared" si="3"/>
        <v>0.0543968753642579</v>
      </c>
      <c r="L30" s="27">
        <f>VLOOKUP(A30,[1]ticket_pivot!$A$6:$V$127,5,FALSE)</f>
        <v>20235750.32</v>
      </c>
      <c r="M30" s="27">
        <f>VLOOKUP(A30,[1]ticket_pivot!$A$6:$V$127,6,FALSE)</f>
        <v>16703964.27</v>
      </c>
      <c r="N30" s="28">
        <f t="shared" si="4"/>
        <v>0.825467996286288</v>
      </c>
      <c r="O30" s="27">
        <f>VLOOKUP(A30,[1]ticket_pivot!$A$6:$V$127,7,FALSE)</f>
        <v>15666674.15</v>
      </c>
      <c r="P30" s="28">
        <f t="shared" si="5"/>
        <v>0.937901560178565</v>
      </c>
      <c r="Q30" s="27">
        <f>VLOOKUP(A30,[1]Sheet12!$A$5:$G$125,3,FALSE)</f>
        <v>4056120.47</v>
      </c>
      <c r="R30" s="27">
        <f>VLOOKUP(A30,[1]NPL!$A$5:$H$119,3,FALSE)</f>
        <v>3285676.93</v>
      </c>
      <c r="S30" s="28">
        <f t="shared" si="6"/>
        <v>0.810054078595945</v>
      </c>
      <c r="T30" s="27">
        <f>VLOOKUP(A30,[1]PAR!$A$5:$H$120,3,FALSE)</f>
        <v>5823496.41</v>
      </c>
    </row>
    <row r="31" spans="1:20">
      <c r="A31" s="24" t="s">
        <v>42</v>
      </c>
      <c r="B31" s="27">
        <f>VLOOKUP(A31,[1]ticket_pivot!$A$6:$V$127,2,FALSE)</f>
        <v>6849879.76000001</v>
      </c>
      <c r="C31" s="27">
        <f>VLOOKUP(A31,[1]ticket_pivot!$A$6:$V$127,3,FALSE)</f>
        <v>6004954.29</v>
      </c>
      <c r="D31" s="28">
        <f t="shared" si="0"/>
        <v>0.876651050879176</v>
      </c>
      <c r="E31" s="27">
        <f>VLOOKUP(A31,[1]ticket_pivot!$A$6:$V$127,4,FALSE)</f>
        <v>5921214.54</v>
      </c>
      <c r="F31" s="28">
        <f t="shared" si="1"/>
        <v>0.986054889686763</v>
      </c>
      <c r="G31" s="27">
        <f>VLOOKUP(A31,[1]Sheet12!$A$5:$G$125,2,FALSE)</f>
        <v>62748936.67</v>
      </c>
      <c r="H31" s="27">
        <f>VLOOKUP(A31,[1]NPL!$A$5:$H$119,2,FALSE)</f>
        <v>905088.51</v>
      </c>
      <c r="I31" s="28">
        <f t="shared" si="2"/>
        <v>0.0144239656961824</v>
      </c>
      <c r="J31" s="27">
        <f>VLOOKUP(A31,[1]PAR!$A$5:$H$120,2,FALSE)</f>
        <v>1436412.41</v>
      </c>
      <c r="K31" s="28">
        <f t="shared" si="3"/>
        <v>0.0228914223288622</v>
      </c>
      <c r="L31" s="27">
        <f>VLOOKUP(A31,[1]ticket_pivot!$A$6:$V$127,5,FALSE)</f>
        <v>22526406.02</v>
      </c>
      <c r="M31" s="27">
        <f>VLOOKUP(A31,[1]ticket_pivot!$A$6:$V$127,6,FALSE)</f>
        <v>18896915.95</v>
      </c>
      <c r="N31" s="28">
        <f t="shared" si="4"/>
        <v>0.838878422648621</v>
      </c>
      <c r="O31" s="27">
        <f>VLOOKUP(A31,[1]ticket_pivot!$A$6:$V$127,7,FALSE)</f>
        <v>18353946.35</v>
      </c>
      <c r="P31" s="28">
        <f t="shared" si="5"/>
        <v>0.971266761124585</v>
      </c>
      <c r="Q31" s="27">
        <f>VLOOKUP(A31,[1]Sheet12!$A$5:$G$125,3,FALSE)</f>
        <v>0</v>
      </c>
      <c r="R31" s="27">
        <f>VLOOKUP(A31,[1]NPL!$A$5:$H$119,3,FALSE)</f>
        <v>1618079.94</v>
      </c>
      <c r="S31" s="28" t="str">
        <f t="shared" si="6"/>
        <v/>
      </c>
      <c r="T31" s="27">
        <f>VLOOKUP(A31,[1]PAR!$A$5:$H$120,3,FALSE)</f>
        <v>6683162.45</v>
      </c>
    </row>
    <row r="32" spans="1:20">
      <c r="A32" s="24" t="s">
        <v>43</v>
      </c>
      <c r="B32" s="27"/>
      <c r="C32" s="27"/>
      <c r="D32" s="28" t="str">
        <f t="shared" si="0"/>
        <v/>
      </c>
      <c r="E32" s="27"/>
      <c r="F32" s="28" t="str">
        <f t="shared" si="1"/>
        <v/>
      </c>
      <c r="G32" s="27"/>
      <c r="H32" s="27"/>
      <c r="I32" s="28" t="str">
        <f t="shared" si="2"/>
        <v/>
      </c>
      <c r="J32" s="27"/>
      <c r="K32" s="28" t="str">
        <f t="shared" si="3"/>
        <v/>
      </c>
      <c r="L32" s="27"/>
      <c r="M32" s="27"/>
      <c r="N32" s="28" t="str">
        <f t="shared" si="4"/>
        <v/>
      </c>
      <c r="O32" s="27"/>
      <c r="P32" s="28" t="str">
        <f t="shared" si="5"/>
        <v/>
      </c>
      <c r="Q32" s="27"/>
      <c r="R32" s="27"/>
      <c r="S32" s="28" t="str">
        <f t="shared" si="6"/>
        <v/>
      </c>
      <c r="T32" s="27"/>
    </row>
    <row r="33" spans="1:20">
      <c r="A33" s="29" t="s">
        <v>44</v>
      </c>
      <c r="B33" s="30">
        <f>SUM(B30:B32)</f>
        <v>8934418.16000001</v>
      </c>
      <c r="C33" s="30">
        <f t="shared" ref="C33:T33" si="17">SUM(C30:C32)</f>
        <v>7588458.98</v>
      </c>
      <c r="D33" s="31">
        <f t="shared" si="0"/>
        <v>0.849351221769991</v>
      </c>
      <c r="E33" s="30">
        <f t="shared" si="17"/>
        <v>7475406.52</v>
      </c>
      <c r="F33" s="31">
        <f t="shared" si="1"/>
        <v>0.985102052959902</v>
      </c>
      <c r="G33" s="30">
        <f t="shared" si="17"/>
        <v>78408771.62</v>
      </c>
      <c r="H33" s="30">
        <f t="shared" si="17"/>
        <v>1428011.92</v>
      </c>
      <c r="I33" s="31">
        <f t="shared" si="2"/>
        <v>0.0182124000988144</v>
      </c>
      <c r="J33" s="30">
        <f t="shared" si="17"/>
        <v>2288258.5</v>
      </c>
      <c r="K33" s="31">
        <f t="shared" si="3"/>
        <v>0.0291837055054224</v>
      </c>
      <c r="L33" s="30">
        <f t="shared" si="17"/>
        <v>42762156.34</v>
      </c>
      <c r="M33" s="30">
        <f t="shared" si="17"/>
        <v>35600880.22</v>
      </c>
      <c r="N33" s="31">
        <f t="shared" si="4"/>
        <v>0.832532390016513</v>
      </c>
      <c r="O33" s="30">
        <f t="shared" si="17"/>
        <v>34020620.5</v>
      </c>
      <c r="P33" s="31">
        <f t="shared" si="5"/>
        <v>0.955611779533692</v>
      </c>
      <c r="Q33" s="30">
        <f t="shared" si="17"/>
        <v>4056120.47</v>
      </c>
      <c r="R33" s="30">
        <f t="shared" si="17"/>
        <v>4903756.87</v>
      </c>
      <c r="S33" s="31">
        <f t="shared" si="6"/>
        <v>1.20897712636232</v>
      </c>
      <c r="T33" s="30">
        <f t="shared" si="17"/>
        <v>12506658.86</v>
      </c>
    </row>
    <row r="34" spans="1:20">
      <c r="A34" s="24" t="s">
        <v>45</v>
      </c>
      <c r="B34" s="27">
        <f>VLOOKUP(A34,[1]ticket_pivot!$A$6:$V$127,2,FALSE)</f>
        <v>1210920.51</v>
      </c>
      <c r="C34" s="27">
        <f>VLOOKUP(A34,[1]ticket_pivot!$A$6:$V$127,3,FALSE)</f>
        <v>994940.2</v>
      </c>
      <c r="D34" s="28">
        <f t="shared" si="0"/>
        <v>0.82163956410318</v>
      </c>
      <c r="E34" s="27">
        <f>VLOOKUP(A34,[1]ticket_pivot!$A$6:$V$127,4,FALSE)</f>
        <v>992403.63</v>
      </c>
      <c r="F34" s="28">
        <f t="shared" si="1"/>
        <v>0.997450530192669</v>
      </c>
      <c r="G34" s="27">
        <f>VLOOKUP(A34,[1]Sheet12!$A$5:$G$125,2,FALSE)</f>
        <v>12330949.25</v>
      </c>
      <c r="H34" s="27">
        <f>VLOOKUP(A34,[1]NPL!$A$5:$H$119,2,FALSE)</f>
        <v>0</v>
      </c>
      <c r="I34" s="28">
        <f t="shared" si="2"/>
        <v>0</v>
      </c>
      <c r="J34" s="27">
        <f>VLOOKUP(A34,[1]PAR!$A$5:$H$120,2,FALSE)</f>
        <v>316280.17</v>
      </c>
      <c r="K34" s="28">
        <f t="shared" si="3"/>
        <v>0.0256492962210513</v>
      </c>
      <c r="L34" s="27">
        <f>VLOOKUP(A34,[1]ticket_pivot!$A$6:$V$127,5,FALSE)</f>
        <v>12210753.79</v>
      </c>
      <c r="M34" s="27">
        <f>VLOOKUP(A34,[1]ticket_pivot!$A$6:$V$127,6,FALSE)</f>
        <v>10794866.57</v>
      </c>
      <c r="N34" s="28">
        <f t="shared" si="4"/>
        <v>0.884045879202024</v>
      </c>
      <c r="O34" s="27">
        <f>VLOOKUP(A34,[1]ticket_pivot!$A$6:$V$127,7,FALSE)</f>
        <v>10308311.3</v>
      </c>
      <c r="P34" s="28">
        <f t="shared" si="5"/>
        <v>0.954927162198356</v>
      </c>
      <c r="Q34" s="27">
        <f>VLOOKUP(A34,[1]Sheet12!$A$5:$G$125,3,FALSE)</f>
        <v>37407542.07</v>
      </c>
      <c r="R34" s="27">
        <f>VLOOKUP(A34,[1]NPL!$A$5:$H$119,3,FALSE)</f>
        <v>812961.88</v>
      </c>
      <c r="S34" s="28">
        <f t="shared" si="6"/>
        <v>0.0217325660819607</v>
      </c>
      <c r="T34" s="27">
        <f>VLOOKUP(A34,[1]PAR!$A$5:$H$120,3,FALSE)</f>
        <v>1764839.69</v>
      </c>
    </row>
    <row r="35" spans="1:20">
      <c r="A35" s="24" t="s">
        <v>46</v>
      </c>
      <c r="B35" s="27">
        <f>VLOOKUP(A35,[1]ticket_pivot!$A$6:$V$127,2,FALSE)</f>
        <v>3431559.45</v>
      </c>
      <c r="C35" s="27">
        <f>VLOOKUP(A35,[1]ticket_pivot!$A$6:$V$127,3,FALSE)</f>
        <v>2826912.69</v>
      </c>
      <c r="D35" s="28">
        <f t="shared" si="0"/>
        <v>0.823798255921226</v>
      </c>
      <c r="E35" s="27">
        <f>VLOOKUP(A35,[1]ticket_pivot!$A$6:$V$127,4,FALSE)</f>
        <v>2671573.84</v>
      </c>
      <c r="F35" s="28">
        <f t="shared" si="1"/>
        <v>0.945050000819092</v>
      </c>
      <c r="G35" s="27">
        <f>VLOOKUP(A35,[1]Sheet12!$A$5:$G$125,2,FALSE)</f>
        <v>29689576.95</v>
      </c>
      <c r="H35" s="27">
        <f>VLOOKUP(A35,[1]NPL!$A$5:$H$119,2,FALSE)</f>
        <v>399461.52</v>
      </c>
      <c r="I35" s="28">
        <f t="shared" si="2"/>
        <v>0.0134546046470359</v>
      </c>
      <c r="J35" s="27">
        <f>VLOOKUP(A35,[1]PAR!$A$5:$H$120,2,FALSE)</f>
        <v>1454852.74</v>
      </c>
      <c r="K35" s="28">
        <f t="shared" si="3"/>
        <v>0.0490021377687566</v>
      </c>
      <c r="L35" s="27">
        <f>VLOOKUP(A35,[1]ticket_pivot!$A$6:$V$127,5,FALSE)</f>
        <v>18658495.79</v>
      </c>
      <c r="M35" s="27">
        <f>VLOOKUP(A35,[1]ticket_pivot!$A$6:$V$127,6,FALSE)</f>
        <v>15365291.14</v>
      </c>
      <c r="N35" s="28">
        <f t="shared" si="4"/>
        <v>0.823501064230216</v>
      </c>
      <c r="O35" s="27">
        <f>VLOOKUP(A35,[1]ticket_pivot!$A$6:$V$127,7,FALSE)</f>
        <v>14922706.44</v>
      </c>
      <c r="P35" s="28">
        <f t="shared" si="5"/>
        <v>0.971195814256469</v>
      </c>
      <c r="Q35" s="27">
        <f>VLOOKUP(A35,[1]Sheet12!$A$5:$G$125,3,FALSE)</f>
        <v>71929795.81</v>
      </c>
      <c r="R35" s="27">
        <f>VLOOKUP(A35,[1]NPL!$A$5:$H$119,3,FALSE)</f>
        <v>1183562.05</v>
      </c>
      <c r="S35" s="28">
        <f t="shared" si="6"/>
        <v>0.0164544058087741</v>
      </c>
      <c r="T35" s="27">
        <f>VLOOKUP(A35,[1]PAR!$A$5:$H$120,3,FALSE)</f>
        <v>2398699.76</v>
      </c>
    </row>
    <row r="36" spans="1:20">
      <c r="A36" s="29" t="s">
        <v>47</v>
      </c>
      <c r="B36" s="30">
        <f>SUM(B34:B35)</f>
        <v>4642479.96</v>
      </c>
      <c r="C36" s="30">
        <f t="shared" ref="C36:T36" si="18">SUM(C34:C35)</f>
        <v>3821852.89</v>
      </c>
      <c r="D36" s="31">
        <f t="shared" si="0"/>
        <v>0.823235193889776</v>
      </c>
      <c r="E36" s="30">
        <f t="shared" si="18"/>
        <v>3663977.47</v>
      </c>
      <c r="F36" s="31">
        <f t="shared" si="1"/>
        <v>0.958691392750075</v>
      </c>
      <c r="G36" s="30">
        <f t="shared" si="18"/>
        <v>42020526.2</v>
      </c>
      <c r="H36" s="30">
        <f t="shared" si="18"/>
        <v>399461.52</v>
      </c>
      <c r="I36" s="31">
        <f t="shared" si="2"/>
        <v>0.00950634264070686</v>
      </c>
      <c r="J36" s="30">
        <f t="shared" si="18"/>
        <v>1771132.91</v>
      </c>
      <c r="K36" s="31">
        <f t="shared" si="3"/>
        <v>0.042149232057927</v>
      </c>
      <c r="L36" s="30">
        <f t="shared" si="18"/>
        <v>30869249.58</v>
      </c>
      <c r="M36" s="30">
        <f t="shared" si="18"/>
        <v>26160157.71</v>
      </c>
      <c r="N36" s="31">
        <f t="shared" si="4"/>
        <v>0.847450393706655</v>
      </c>
      <c r="O36" s="30">
        <f t="shared" si="18"/>
        <v>25231017.74</v>
      </c>
      <c r="P36" s="31">
        <f t="shared" si="5"/>
        <v>0.964482631171416</v>
      </c>
      <c r="Q36" s="30">
        <f t="shared" si="18"/>
        <v>109337337.88</v>
      </c>
      <c r="R36" s="30">
        <f t="shared" si="18"/>
        <v>1996523.93</v>
      </c>
      <c r="S36" s="31">
        <f t="shared" si="6"/>
        <v>0.0182602207874425</v>
      </c>
      <c r="T36" s="30">
        <f t="shared" si="18"/>
        <v>4163539.45</v>
      </c>
    </row>
    <row r="37" spans="1:20">
      <c r="A37" s="32" t="s">
        <v>48</v>
      </c>
      <c r="B37" s="33">
        <f>SUM(B36,B33)</f>
        <v>13576898.12</v>
      </c>
      <c r="C37" s="33">
        <f t="shared" ref="C37:T37" si="19">SUM(C36,C33)</f>
        <v>11410311.87</v>
      </c>
      <c r="D37" s="34">
        <f t="shared" si="0"/>
        <v>0.840421116012617</v>
      </c>
      <c r="E37" s="33">
        <f t="shared" si="19"/>
        <v>11139383.99</v>
      </c>
      <c r="F37" s="34">
        <f t="shared" si="1"/>
        <v>0.976255874240184</v>
      </c>
      <c r="G37" s="33">
        <f t="shared" si="19"/>
        <v>120429297.82</v>
      </c>
      <c r="H37" s="33">
        <f t="shared" si="19"/>
        <v>1827473.44</v>
      </c>
      <c r="I37" s="34">
        <f t="shared" si="2"/>
        <v>0.0151746582690488</v>
      </c>
      <c r="J37" s="33">
        <f t="shared" si="19"/>
        <v>4059391.41</v>
      </c>
      <c r="K37" s="34">
        <f t="shared" si="3"/>
        <v>0.0337076731616204</v>
      </c>
      <c r="L37" s="33">
        <f t="shared" si="19"/>
        <v>73631405.92</v>
      </c>
      <c r="M37" s="33">
        <f t="shared" si="19"/>
        <v>61761037.93</v>
      </c>
      <c r="N37" s="34">
        <f t="shared" si="4"/>
        <v>0.838786617725362</v>
      </c>
      <c r="O37" s="33">
        <f t="shared" si="19"/>
        <v>59251638.24</v>
      </c>
      <c r="P37" s="34">
        <f t="shared" si="5"/>
        <v>0.959369211170898</v>
      </c>
      <c r="Q37" s="33">
        <f t="shared" si="19"/>
        <v>113393458.35</v>
      </c>
      <c r="R37" s="33">
        <f t="shared" si="19"/>
        <v>6900280.8</v>
      </c>
      <c r="S37" s="34">
        <f t="shared" si="6"/>
        <v>0.0608525474079961</v>
      </c>
      <c r="T37" s="33">
        <f t="shared" si="19"/>
        <v>16670198.31</v>
      </c>
    </row>
    <row r="38" spans="1:20">
      <c r="A38" s="24" t="s">
        <v>49</v>
      </c>
      <c r="B38" s="27">
        <f>VLOOKUP(A38,[1]ticket_pivot!$A$6:$V$127,2,FALSE)</f>
        <v>2114407.63</v>
      </c>
      <c r="C38" s="27">
        <f>VLOOKUP(A38,[1]ticket_pivot!$A$6:$V$127,3,FALSE)</f>
        <v>1276647.3</v>
      </c>
      <c r="D38" s="28">
        <f t="shared" si="0"/>
        <v>0.603784852970853</v>
      </c>
      <c r="E38" s="27">
        <f>VLOOKUP(A38,[1]ticket_pivot!$A$6:$V$127,4,FALSE)</f>
        <v>1211858.32</v>
      </c>
      <c r="F38" s="28">
        <f t="shared" si="1"/>
        <v>0.949250681844547</v>
      </c>
      <c r="G38" s="27">
        <f>VLOOKUP(A38,[1]Sheet12!$A$5:$G$125,2,FALSE)</f>
        <v>16408484.09</v>
      </c>
      <c r="H38" s="27">
        <f>VLOOKUP(A38,[1]NPL!$A$5:$H$119,2,FALSE)</f>
        <v>467044.58</v>
      </c>
      <c r="I38" s="28">
        <f t="shared" si="2"/>
        <v>0.0284636031846864</v>
      </c>
      <c r="J38" s="27">
        <f>VLOOKUP(A38,[1]PAR!$A$5:$H$120,2,FALSE)</f>
        <v>865224.25</v>
      </c>
      <c r="K38" s="28">
        <f t="shared" si="3"/>
        <v>0.0527302976468925</v>
      </c>
      <c r="L38" s="27">
        <f>VLOOKUP(A38,[1]ticket_pivot!$A$6:$V$127,5,FALSE)</f>
        <v>17372292.14</v>
      </c>
      <c r="M38" s="27">
        <f>VLOOKUP(A38,[1]ticket_pivot!$A$6:$V$127,6,FALSE)</f>
        <v>11981630.53</v>
      </c>
      <c r="N38" s="28">
        <f t="shared" si="4"/>
        <v>0.689697734383138</v>
      </c>
      <c r="O38" s="27">
        <f>VLOOKUP(A38,[1]ticket_pivot!$A$6:$V$127,7,FALSE)</f>
        <v>11407629.85</v>
      </c>
      <c r="P38" s="28">
        <f t="shared" si="5"/>
        <v>0.952093274904213</v>
      </c>
      <c r="Q38" s="27">
        <f>VLOOKUP(A38,[1]Sheet12!$A$5:$G$125,3,FALSE)</f>
        <v>98734282.7</v>
      </c>
      <c r="R38" s="27">
        <f>VLOOKUP(A38,[1]NPL!$A$5:$H$119,3,FALSE)</f>
        <v>4901324.15</v>
      </c>
      <c r="S38" s="28">
        <f t="shared" si="6"/>
        <v>0.0496415633553795</v>
      </c>
      <c r="T38" s="27">
        <f>VLOOKUP(A38,[1]PAR!$A$5:$H$120,3,FALSE)</f>
        <v>8358979.76</v>
      </c>
    </row>
    <row r="39" spans="1:20">
      <c r="A39" s="24" t="s">
        <v>50</v>
      </c>
      <c r="B39" s="27">
        <f>VLOOKUP(A39,[1]ticket_pivot!$A$6:$V$127,2,FALSE)</f>
        <v>2835273.15</v>
      </c>
      <c r="C39" s="27">
        <f>VLOOKUP(A39,[1]ticket_pivot!$A$6:$V$127,3,FALSE)</f>
        <v>2098468.17</v>
      </c>
      <c r="D39" s="28">
        <f t="shared" si="0"/>
        <v>0.740129101846854</v>
      </c>
      <c r="E39" s="27">
        <f>VLOOKUP(A39,[1]ticket_pivot!$A$6:$V$127,4,FALSE)</f>
        <v>2088416.65</v>
      </c>
      <c r="F39" s="28">
        <f t="shared" si="1"/>
        <v>0.995210067923022</v>
      </c>
      <c r="G39" s="27">
        <f>VLOOKUP(A39,[1]Sheet12!$A$5:$G$125,2,FALSE)</f>
        <v>29023859.55</v>
      </c>
      <c r="H39" s="27">
        <f>VLOOKUP(A39,[1]NPL!$A$5:$H$119,2,FALSE)</f>
        <v>377944.37</v>
      </c>
      <c r="I39" s="28">
        <f t="shared" si="2"/>
        <v>0.0130218508447819</v>
      </c>
      <c r="J39" s="27">
        <f>VLOOKUP(A39,[1]PAR!$A$5:$H$120,2,FALSE)</f>
        <v>1724646.13</v>
      </c>
      <c r="K39" s="28">
        <f t="shared" si="3"/>
        <v>0.0594216674398151</v>
      </c>
      <c r="L39" s="27">
        <f>VLOOKUP(A39,[1]ticket_pivot!$A$6:$V$127,5,FALSE)</f>
        <v>13016299.68</v>
      </c>
      <c r="M39" s="27">
        <f>VLOOKUP(A39,[1]ticket_pivot!$A$6:$V$127,6,FALSE)</f>
        <v>8912866.41</v>
      </c>
      <c r="N39" s="28">
        <f t="shared" si="4"/>
        <v>0.684746558478131</v>
      </c>
      <c r="O39" s="27">
        <f>VLOOKUP(A39,[1]ticket_pivot!$A$6:$V$127,7,FALSE)</f>
        <v>8595288.88</v>
      </c>
      <c r="P39" s="28">
        <f t="shared" si="5"/>
        <v>0.964368642433181</v>
      </c>
      <c r="Q39" s="27">
        <f>VLOOKUP(A39,[1]Sheet12!$A$5:$G$125,3,FALSE)</f>
        <v>23261857.48</v>
      </c>
      <c r="R39" s="27">
        <f>VLOOKUP(A39,[1]NPL!$A$5:$H$119,3,FALSE)</f>
        <v>2742085.24</v>
      </c>
      <c r="S39" s="28">
        <f t="shared" si="6"/>
        <v>0.117879031902658</v>
      </c>
      <c r="T39" s="27">
        <f>VLOOKUP(A39,[1]PAR!$A$5:$H$120,3,FALSE)</f>
        <v>3785495.43</v>
      </c>
    </row>
    <row r="40" spans="1:20">
      <c r="A40" s="24" t="s">
        <v>51</v>
      </c>
      <c r="B40" s="27">
        <f>VLOOKUP(A40,[1]ticket_pivot!$A$6:$V$127,2,FALSE)</f>
        <v>3346967.79</v>
      </c>
      <c r="C40" s="27">
        <f>VLOOKUP(A40,[1]ticket_pivot!$A$6:$V$127,3,FALSE)</f>
        <v>2331266.01</v>
      </c>
      <c r="D40" s="28">
        <f t="shared" si="0"/>
        <v>0.696530757471078</v>
      </c>
      <c r="E40" s="27">
        <f>VLOOKUP(A40,[1]ticket_pivot!$A$6:$V$127,4,FALSE)</f>
        <v>2328395.63</v>
      </c>
      <c r="F40" s="28">
        <f t="shared" si="1"/>
        <v>0.998768746257318</v>
      </c>
      <c r="G40" s="27">
        <f>VLOOKUP(A40,[1]Sheet12!$A$5:$G$125,2,FALSE)</f>
        <v>27553000.14</v>
      </c>
      <c r="H40" s="27">
        <f>VLOOKUP(A40,[1]NPL!$A$5:$H$119,2,FALSE)</f>
        <v>807593.27</v>
      </c>
      <c r="I40" s="28">
        <f t="shared" si="2"/>
        <v>0.0293105384494075</v>
      </c>
      <c r="J40" s="27">
        <f>VLOOKUP(A40,[1]PAR!$A$5:$H$120,2,FALSE)</f>
        <v>1642718.05</v>
      </c>
      <c r="K40" s="28">
        <f t="shared" si="3"/>
        <v>0.0596202969423713</v>
      </c>
      <c r="L40" s="27">
        <f>VLOOKUP(A40,[1]ticket_pivot!$A$6:$V$127,5,FALSE)</f>
        <v>15369757.66</v>
      </c>
      <c r="M40" s="27">
        <f>VLOOKUP(A40,[1]ticket_pivot!$A$6:$V$127,6,FALSE)</f>
        <v>11404777.86</v>
      </c>
      <c r="N40" s="28">
        <f t="shared" si="4"/>
        <v>0.742027175202709</v>
      </c>
      <c r="O40" s="27">
        <f>VLOOKUP(A40,[1]ticket_pivot!$A$6:$V$127,7,FALSE)</f>
        <v>10909088.57</v>
      </c>
      <c r="P40" s="28">
        <f t="shared" si="5"/>
        <v>0.956536699260182</v>
      </c>
      <c r="Q40" s="27">
        <f>VLOOKUP(A40,[1]Sheet12!$A$5:$G$125,3,FALSE)</f>
        <v>59558317.17</v>
      </c>
      <c r="R40" s="27">
        <f>VLOOKUP(A40,[1]NPL!$A$5:$H$119,3,FALSE)</f>
        <v>2682605.13</v>
      </c>
      <c r="S40" s="28">
        <f t="shared" si="6"/>
        <v>0.0450416542553229</v>
      </c>
      <c r="T40" s="27">
        <f>VLOOKUP(A40,[1]PAR!$A$5:$H$120,3,FALSE)</f>
        <v>4852122.13</v>
      </c>
    </row>
    <row r="41" spans="1:20">
      <c r="A41" s="24" t="s">
        <v>52</v>
      </c>
      <c r="B41" s="27">
        <f>VLOOKUP(A41,[1]ticket_pivot!$A$6:$V$127,2,FALSE)</f>
        <v>4089348.59</v>
      </c>
      <c r="C41" s="27">
        <f>VLOOKUP(A41,[1]ticket_pivot!$A$6:$V$127,3,FALSE)</f>
        <v>2617769.95</v>
      </c>
      <c r="D41" s="28">
        <f t="shared" si="0"/>
        <v>0.640143507550673</v>
      </c>
      <c r="E41" s="27">
        <f>VLOOKUP(A41,[1]ticket_pivot!$A$6:$V$127,4,FALSE)</f>
        <v>2447867.17</v>
      </c>
      <c r="F41" s="28">
        <f t="shared" si="1"/>
        <v>0.935096367043254</v>
      </c>
      <c r="G41" s="27">
        <f>VLOOKUP(A41,[1]Sheet12!$A$5:$G$125,2,FALSE)</f>
        <v>25658646.67</v>
      </c>
      <c r="H41" s="27">
        <f>VLOOKUP(A41,[1]NPL!$A$5:$H$119,2,FALSE)</f>
        <v>1195341.21</v>
      </c>
      <c r="I41" s="28">
        <f t="shared" si="2"/>
        <v>0.0465862921522509</v>
      </c>
      <c r="J41" s="27">
        <f>VLOOKUP(A41,[1]PAR!$A$5:$H$120,2,FALSE)</f>
        <v>1716023.59</v>
      </c>
      <c r="K41" s="28">
        <f t="shared" si="3"/>
        <v>0.0668789594427975</v>
      </c>
      <c r="L41" s="27">
        <f>VLOOKUP(A41,[1]ticket_pivot!$A$6:$V$127,5,FALSE)</f>
        <v>7384398.48</v>
      </c>
      <c r="M41" s="27">
        <f>VLOOKUP(A41,[1]ticket_pivot!$A$6:$V$127,6,FALSE)</f>
        <v>5783680.95</v>
      </c>
      <c r="N41" s="28">
        <f t="shared" si="4"/>
        <v>0.783229800729822</v>
      </c>
      <c r="O41" s="27">
        <f>VLOOKUP(A41,[1]ticket_pivot!$A$6:$V$127,7,FALSE)</f>
        <v>5776883.5</v>
      </c>
      <c r="P41" s="28">
        <f t="shared" si="5"/>
        <v>0.99882471905716</v>
      </c>
      <c r="Q41" s="27">
        <f>VLOOKUP(A41,[1]Sheet12!$A$5:$G$125,3,FALSE)</f>
        <v>2950580.26</v>
      </c>
      <c r="R41" s="27">
        <f>VLOOKUP(A41,[1]NPL!$A$5:$H$119,3,FALSE)</f>
        <v>1520726.14</v>
      </c>
      <c r="S41" s="28">
        <f t="shared" si="6"/>
        <v>0.515399008329297</v>
      </c>
      <c r="T41" s="27">
        <f>VLOOKUP(A41,[1]PAR!$A$5:$H$120,3,FALSE)</f>
        <v>2711954.91</v>
      </c>
    </row>
    <row r="42" spans="1:20">
      <c r="A42" s="24" t="s">
        <v>53</v>
      </c>
      <c r="B42" s="27">
        <f>VLOOKUP(A42,[1]ticket_pivot!$A$6:$V$127,2,FALSE)</f>
        <v>3734825.43</v>
      </c>
      <c r="C42" s="27">
        <f>VLOOKUP(A42,[1]ticket_pivot!$A$6:$V$127,3,FALSE)</f>
        <v>2731445.16</v>
      </c>
      <c r="D42" s="28">
        <f t="shared" si="0"/>
        <v>0.73134480076623</v>
      </c>
      <c r="E42" s="27">
        <f>VLOOKUP(A42,[1]ticket_pivot!$A$6:$V$127,4,FALSE)</f>
        <v>2645507.79</v>
      </c>
      <c r="F42" s="28">
        <f t="shared" si="1"/>
        <v>0.968537764821901</v>
      </c>
      <c r="G42" s="27">
        <f>VLOOKUP(A42,[1]Sheet12!$A$5:$G$125,2,FALSE)</f>
        <v>28935659.19</v>
      </c>
      <c r="H42" s="27">
        <f>VLOOKUP(A42,[1]NPL!$A$5:$H$119,2,FALSE)</f>
        <v>529497.76</v>
      </c>
      <c r="I42" s="28">
        <f t="shared" si="2"/>
        <v>0.0182991428162449</v>
      </c>
      <c r="J42" s="27">
        <f>VLOOKUP(A42,[1]PAR!$A$5:$H$120,2,FALSE)</f>
        <v>1442842.77</v>
      </c>
      <c r="K42" s="28">
        <f t="shared" si="3"/>
        <v>0.0498638292815751</v>
      </c>
      <c r="L42" s="27">
        <f>VLOOKUP(A42,[1]ticket_pivot!$A$6:$V$127,5,FALSE)</f>
        <v>6865886.2</v>
      </c>
      <c r="M42" s="27">
        <f>VLOOKUP(A42,[1]ticket_pivot!$A$6:$V$127,6,FALSE)</f>
        <v>5886368.91</v>
      </c>
      <c r="N42" s="28">
        <f t="shared" si="4"/>
        <v>0.857335635711527</v>
      </c>
      <c r="O42" s="27">
        <f>VLOOKUP(A42,[1]ticket_pivot!$A$6:$V$127,7,FALSE)</f>
        <v>5804546.05</v>
      </c>
      <c r="P42" s="28">
        <f t="shared" si="5"/>
        <v>0.986099603804818</v>
      </c>
      <c r="Q42" s="27">
        <f>VLOOKUP(A42,[1]Sheet12!$A$5:$G$125,3,FALSE)</f>
        <v>26131381.87</v>
      </c>
      <c r="R42" s="27">
        <f>VLOOKUP(A42,[1]NPL!$A$5:$H$119,3,FALSE)</f>
        <v>84369.39</v>
      </c>
      <c r="S42" s="28">
        <f t="shared" si="6"/>
        <v>0.00322866163066791</v>
      </c>
      <c r="T42" s="27">
        <f>VLOOKUP(A42,[1]PAR!$A$5:$H$120,3,FALSE)</f>
        <v>1916340.65</v>
      </c>
    </row>
    <row r="43" spans="1:20">
      <c r="A43" s="29" t="s">
        <v>54</v>
      </c>
      <c r="B43" s="30">
        <f>SUM(B38:B42)</f>
        <v>16120822.59</v>
      </c>
      <c r="C43" s="30">
        <f t="shared" ref="C43:T43" si="20">SUM(C38:C42)</f>
        <v>11055596.59</v>
      </c>
      <c r="D43" s="31">
        <f t="shared" si="0"/>
        <v>0.685796058375952</v>
      </c>
      <c r="E43" s="30">
        <f t="shared" si="20"/>
        <v>10722045.56</v>
      </c>
      <c r="F43" s="31">
        <f t="shared" si="1"/>
        <v>0.969829667057344</v>
      </c>
      <c r="G43" s="30">
        <f>SUM(G38:G42)</f>
        <v>127579649.64</v>
      </c>
      <c r="H43" s="30">
        <f t="shared" si="20"/>
        <v>3377421.19</v>
      </c>
      <c r="I43" s="31">
        <f t="shared" si="2"/>
        <v>0.0264730401716127</v>
      </c>
      <c r="J43" s="30">
        <f t="shared" si="20"/>
        <v>7391454.79</v>
      </c>
      <c r="K43" s="31">
        <f t="shared" si="3"/>
        <v>0.0579360016339358</v>
      </c>
      <c r="L43" s="30">
        <f t="shared" si="20"/>
        <v>60008634.16</v>
      </c>
      <c r="M43" s="30">
        <f t="shared" si="20"/>
        <v>43969324.66</v>
      </c>
      <c r="N43" s="31">
        <f t="shared" si="4"/>
        <v>0.732716637788578</v>
      </c>
      <c r="O43" s="30">
        <f t="shared" si="20"/>
        <v>42493436.85</v>
      </c>
      <c r="P43" s="31">
        <f t="shared" si="5"/>
        <v>0.966433693912459</v>
      </c>
      <c r="Q43" s="30">
        <f t="shared" si="20"/>
        <v>210636419.48</v>
      </c>
      <c r="R43" s="30">
        <f t="shared" si="20"/>
        <v>11931110.05</v>
      </c>
      <c r="S43" s="31">
        <f t="shared" si="6"/>
        <v>0.0566431487938052</v>
      </c>
      <c r="T43" s="30">
        <f t="shared" si="20"/>
        <v>21624892.88</v>
      </c>
    </row>
    <row r="44" spans="1:20">
      <c r="A44" s="24" t="s">
        <v>55</v>
      </c>
      <c r="B44" s="27">
        <f>VLOOKUP(A44,[1]ticket_pivot!$A$6:$V$127,2,FALSE)</f>
        <v>4133402.97</v>
      </c>
      <c r="C44" s="27">
        <f>VLOOKUP(A44,[1]ticket_pivot!$A$6:$V$127,3,FALSE)</f>
        <v>2305029.77</v>
      </c>
      <c r="D44" s="28">
        <f t="shared" si="0"/>
        <v>0.557659097535317</v>
      </c>
      <c r="E44" s="27">
        <f>VLOOKUP(A44,[1]ticket_pivot!$A$6:$V$127,4,FALSE)</f>
        <v>2184615.71</v>
      </c>
      <c r="F44" s="28">
        <f t="shared" si="1"/>
        <v>0.947760301594717</v>
      </c>
      <c r="G44" s="27">
        <f>VLOOKUP(A44,[1]Sheet12!$A$5:$G$125,2,FALSE)</f>
        <v>35068343.98</v>
      </c>
      <c r="H44" s="27">
        <f>VLOOKUP(A44,[1]NPL!$A$5:$H$119,2,FALSE)</f>
        <v>791989.85</v>
      </c>
      <c r="I44" s="28">
        <f t="shared" si="2"/>
        <v>0.0225841816326338</v>
      </c>
      <c r="J44" s="27">
        <f>VLOOKUP(A44,[1]PAR!$A$5:$H$120,2,FALSE)</f>
        <v>2969105.26</v>
      </c>
      <c r="K44" s="28">
        <f t="shared" si="3"/>
        <v>0.0846662523241281</v>
      </c>
      <c r="L44" s="27">
        <f>VLOOKUP(A44,[1]ticket_pivot!$A$6:$V$127,5,FALSE)</f>
        <v>13305553.78</v>
      </c>
      <c r="M44" s="27">
        <f>VLOOKUP(A44,[1]ticket_pivot!$A$6:$V$127,6,FALSE)</f>
        <v>10053389.56</v>
      </c>
      <c r="N44" s="28">
        <f t="shared" si="4"/>
        <v>0.755578439366542</v>
      </c>
      <c r="O44" s="27">
        <f>VLOOKUP(A44,[1]ticket_pivot!$A$6:$V$127,7,FALSE)</f>
        <v>9686377.09</v>
      </c>
      <c r="P44" s="28">
        <f t="shared" si="5"/>
        <v>0.963493658749657</v>
      </c>
      <c r="Q44" s="27">
        <f>VLOOKUP(A44,[1]Sheet12!$A$5:$G$125,3,FALSE)</f>
        <v>4941402</v>
      </c>
      <c r="R44" s="27">
        <f>VLOOKUP(A44,[1]NPL!$A$5:$H$119,3,FALSE)</f>
        <v>1710909.31</v>
      </c>
      <c r="S44" s="28">
        <f t="shared" si="6"/>
        <v>0.346239652228254</v>
      </c>
      <c r="T44" s="27">
        <f>VLOOKUP(A44,[1]PAR!$A$5:$H$120,3,FALSE)</f>
        <v>2854613.41</v>
      </c>
    </row>
    <row r="45" spans="1:20">
      <c r="A45" s="24" t="s">
        <v>56</v>
      </c>
      <c r="B45" s="27">
        <f>VLOOKUP(A45,[1]ticket_pivot!$A$6:$V$127,2,FALSE)</f>
        <v>742201.97</v>
      </c>
      <c r="C45" s="27">
        <f>VLOOKUP(A45,[1]ticket_pivot!$A$6:$V$127,3,FALSE)</f>
        <v>678907.34</v>
      </c>
      <c r="D45" s="28">
        <f t="shared" si="0"/>
        <v>0.914720476961278</v>
      </c>
      <c r="E45" s="27">
        <f>VLOOKUP(A45,[1]ticket_pivot!$A$6:$V$127,4,FALSE)</f>
        <v>674465.84</v>
      </c>
      <c r="F45" s="28">
        <f t="shared" si="1"/>
        <v>0.99345787011229</v>
      </c>
      <c r="G45" s="27">
        <f>VLOOKUP(A45,[1]Sheet12!$A$5:$G$125,2,FALSE)</f>
        <v>8820365.56</v>
      </c>
      <c r="H45" s="27">
        <f>VLOOKUP(A45,[1]NPL!$A$5:$H$119,2,FALSE)</f>
        <v>0</v>
      </c>
      <c r="I45" s="28">
        <f t="shared" si="2"/>
        <v>0</v>
      </c>
      <c r="J45" s="27">
        <f>VLOOKUP(A45,[1]PAR!$A$5:$H$120,2,FALSE)</f>
        <v>0</v>
      </c>
      <c r="K45" s="28">
        <f t="shared" si="3"/>
        <v>0</v>
      </c>
      <c r="L45" s="27">
        <f>VLOOKUP(A45,[1]ticket_pivot!$A$6:$V$127,5,FALSE)</f>
        <v>9738358.97</v>
      </c>
      <c r="M45" s="27">
        <f>VLOOKUP(A45,[1]ticket_pivot!$A$6:$V$127,6,FALSE)</f>
        <v>6007104.35</v>
      </c>
      <c r="N45" s="28">
        <f t="shared" si="4"/>
        <v>0.61684975553946</v>
      </c>
      <c r="O45" s="27">
        <f>VLOOKUP(A45,[1]ticket_pivot!$A$6:$V$127,7,FALSE)</f>
        <v>5746215.5</v>
      </c>
      <c r="P45" s="28">
        <f t="shared" si="5"/>
        <v>0.956569948714142</v>
      </c>
      <c r="Q45" s="27">
        <f>VLOOKUP(A45,[1]Sheet12!$A$5:$G$125,3,FALSE)</f>
        <v>61193966.47</v>
      </c>
      <c r="R45" s="27">
        <f>VLOOKUP(A45,[1]NPL!$A$5:$H$119,3,FALSE)</f>
        <v>4025573.14</v>
      </c>
      <c r="S45" s="28">
        <f t="shared" si="6"/>
        <v>0.065783824324797</v>
      </c>
      <c r="T45" s="27">
        <f>VLOOKUP(A45,[1]PAR!$A$5:$H$120,3,FALSE)</f>
        <v>5958938.65</v>
      </c>
    </row>
    <row r="46" spans="1:20">
      <c r="A46" s="24" t="s">
        <v>57</v>
      </c>
      <c r="B46" s="27">
        <f>VLOOKUP(A46,[1]ticket_pivot!$A$6:$V$127,2,FALSE)</f>
        <v>3203609.58</v>
      </c>
      <c r="C46" s="27">
        <f>VLOOKUP(A46,[1]ticket_pivot!$A$6:$V$127,3,FALSE)</f>
        <v>1128719.2</v>
      </c>
      <c r="D46" s="28">
        <f t="shared" si="0"/>
        <v>0.352327326977215</v>
      </c>
      <c r="E46" s="27">
        <f>VLOOKUP(A46,[1]ticket_pivot!$A$6:$V$127,4,FALSE)</f>
        <v>1111954.36</v>
      </c>
      <c r="F46" s="28">
        <f t="shared" si="1"/>
        <v>0.985147023280901</v>
      </c>
      <c r="G46" s="27">
        <f>VLOOKUP(A46,[1]Sheet12!$A$5:$G$125,2,FALSE)</f>
        <v>12002405.18</v>
      </c>
      <c r="H46" s="27">
        <f>VLOOKUP(A46,[1]NPL!$A$5:$H$119,2,FALSE)</f>
        <v>1926634.88</v>
      </c>
      <c r="I46" s="28">
        <f t="shared" si="2"/>
        <v>0.160520733228571</v>
      </c>
      <c r="J46" s="27">
        <f>VLOOKUP(A46,[1]PAR!$A$5:$H$120,2,FALSE)</f>
        <v>1926634.88</v>
      </c>
      <c r="K46" s="28">
        <f t="shared" si="3"/>
        <v>0.160520733228571</v>
      </c>
      <c r="L46" s="27">
        <f>VLOOKUP(A46,[1]ticket_pivot!$A$6:$V$127,5,FALSE)</f>
        <v>10995835.73</v>
      </c>
      <c r="M46" s="27">
        <f>VLOOKUP(A46,[1]ticket_pivot!$A$6:$V$127,6,FALSE)</f>
        <v>7932573.14</v>
      </c>
      <c r="N46" s="28">
        <f t="shared" si="4"/>
        <v>0.721416119227529</v>
      </c>
      <c r="O46" s="27">
        <f>VLOOKUP(A46,[1]ticket_pivot!$A$6:$V$127,7,FALSE)</f>
        <v>7924306.9</v>
      </c>
      <c r="P46" s="28">
        <f t="shared" si="5"/>
        <v>0.998957937121523</v>
      </c>
      <c r="Q46" s="27">
        <f>VLOOKUP(A46,[1]Sheet12!$A$5:$G$125,3,FALSE)</f>
        <v>152409603.69</v>
      </c>
      <c r="R46" s="27">
        <f>VLOOKUP(A46,[1]NPL!$A$5:$H$119,3,FALSE)</f>
        <v>1018206.48</v>
      </c>
      <c r="S46" s="28">
        <f t="shared" si="6"/>
        <v>0.00668072388713131</v>
      </c>
      <c r="T46" s="27">
        <f>VLOOKUP(A46,[1]PAR!$A$5:$H$120,3,FALSE)</f>
        <v>4251982.07</v>
      </c>
    </row>
    <row r="47" spans="1:20">
      <c r="A47" s="24" t="s">
        <v>58</v>
      </c>
      <c r="B47" s="27">
        <f>VLOOKUP(A47,[1]ticket_pivot!$A$6:$V$127,2,FALSE)</f>
        <v>994176.16</v>
      </c>
      <c r="C47" s="27">
        <f>VLOOKUP(A47,[1]ticket_pivot!$A$6:$V$127,3,FALSE)</f>
        <v>926605.96</v>
      </c>
      <c r="D47" s="28">
        <f t="shared" si="0"/>
        <v>0.932033976755186</v>
      </c>
      <c r="E47" s="27">
        <f>VLOOKUP(A47,[1]ticket_pivot!$A$6:$V$127,4,FALSE)</f>
        <v>924954.76</v>
      </c>
      <c r="F47" s="28">
        <f t="shared" si="1"/>
        <v>0.998218012757009</v>
      </c>
      <c r="G47" s="27">
        <f>VLOOKUP(A47,[1]Sheet12!$A$5:$G$125,2,FALSE)</f>
        <v>10264216.93</v>
      </c>
      <c r="H47" s="27"/>
      <c r="I47" s="28">
        <f t="shared" si="2"/>
        <v>0</v>
      </c>
      <c r="J47" s="27"/>
      <c r="K47" s="28">
        <f t="shared" si="3"/>
        <v>0</v>
      </c>
      <c r="L47" s="27">
        <f>VLOOKUP(A47,[1]ticket_pivot!$A$6:$V$127,5,FALSE)</f>
        <v>4529476.89</v>
      </c>
      <c r="M47" s="27">
        <f>VLOOKUP(A47,[1]ticket_pivot!$A$6:$V$127,6,FALSE)</f>
        <v>4059223.25</v>
      </c>
      <c r="N47" s="28">
        <f t="shared" si="4"/>
        <v>0.896179260559159</v>
      </c>
      <c r="O47" s="27">
        <f>VLOOKUP(A47,[1]ticket_pivot!$A$6:$V$127,7,FALSE)</f>
        <v>4002139.72</v>
      </c>
      <c r="P47" s="28">
        <f t="shared" si="5"/>
        <v>0.985937326802609</v>
      </c>
      <c r="Q47" s="27">
        <f>VLOOKUP(A47,[1]Sheet12!$A$5:$G$125,3,FALSE)</f>
        <v>12218540.63</v>
      </c>
      <c r="R47" s="27"/>
      <c r="S47" s="28">
        <f t="shared" si="6"/>
        <v>0</v>
      </c>
      <c r="T47" s="27"/>
    </row>
    <row r="48" spans="1:20">
      <c r="A48" s="29" t="s">
        <v>59</v>
      </c>
      <c r="B48" s="30">
        <f>SUM(B44:B47)</f>
        <v>9073390.68</v>
      </c>
      <c r="C48" s="30">
        <f t="shared" ref="C48:T48" si="21">SUM(C44:C47)</f>
        <v>5039262.27</v>
      </c>
      <c r="D48" s="31">
        <f t="shared" si="0"/>
        <v>0.555389098488593</v>
      </c>
      <c r="E48" s="30">
        <f t="shared" si="21"/>
        <v>4895990.67</v>
      </c>
      <c r="F48" s="31">
        <f t="shared" si="1"/>
        <v>0.971568933640757</v>
      </c>
      <c r="G48" s="30">
        <f>SUM(G44:G47)</f>
        <v>66155331.65</v>
      </c>
      <c r="H48" s="30">
        <f t="shared" si="21"/>
        <v>2718624.73</v>
      </c>
      <c r="I48" s="31">
        <f t="shared" si="2"/>
        <v>0.0410945673189744</v>
      </c>
      <c r="J48" s="30">
        <f t="shared" si="21"/>
        <v>4895740.14</v>
      </c>
      <c r="K48" s="31">
        <f t="shared" si="3"/>
        <v>0.0740037124430318</v>
      </c>
      <c r="L48" s="30">
        <f t="shared" si="21"/>
        <v>38569225.37</v>
      </c>
      <c r="M48" s="30">
        <f t="shared" si="21"/>
        <v>28052290.3</v>
      </c>
      <c r="N48" s="31">
        <f t="shared" si="4"/>
        <v>0.727323145095356</v>
      </c>
      <c r="O48" s="30">
        <f t="shared" si="21"/>
        <v>27359039.21</v>
      </c>
      <c r="P48" s="31">
        <f t="shared" si="5"/>
        <v>0.975287183948756</v>
      </c>
      <c r="Q48" s="30">
        <f t="shared" si="21"/>
        <v>230763512.79</v>
      </c>
      <c r="R48" s="30">
        <f t="shared" si="21"/>
        <v>6754688.93</v>
      </c>
      <c r="S48" s="31">
        <f t="shared" si="6"/>
        <v>0.0292710439719598</v>
      </c>
      <c r="T48" s="30">
        <f t="shared" si="21"/>
        <v>13065534.13</v>
      </c>
    </row>
    <row r="49" spans="1:20">
      <c r="A49" s="32" t="s">
        <v>60</v>
      </c>
      <c r="B49" s="33">
        <f>SUM(B48,B43)</f>
        <v>25194213.27</v>
      </c>
      <c r="C49" s="33">
        <f t="shared" ref="C49:T49" si="22">SUM(C48,C43)</f>
        <v>16094858.86</v>
      </c>
      <c r="D49" s="34">
        <f t="shared" si="0"/>
        <v>0.63883157165955</v>
      </c>
      <c r="E49" s="33">
        <f t="shared" si="22"/>
        <v>15618036.23</v>
      </c>
      <c r="F49" s="34">
        <f t="shared" si="1"/>
        <v>0.970374227313976</v>
      </c>
      <c r="G49" s="33">
        <f t="shared" si="22"/>
        <v>193734981.29</v>
      </c>
      <c r="H49" s="33">
        <f t="shared" si="22"/>
        <v>6096045.92</v>
      </c>
      <c r="I49" s="34">
        <f t="shared" si="2"/>
        <v>0.0314659019213205</v>
      </c>
      <c r="J49" s="33">
        <f t="shared" si="22"/>
        <v>12287194.93</v>
      </c>
      <c r="K49" s="34">
        <f t="shared" si="3"/>
        <v>0.0634226965527068</v>
      </c>
      <c r="L49" s="33">
        <f t="shared" si="22"/>
        <v>98577859.53</v>
      </c>
      <c r="M49" s="33">
        <f t="shared" si="22"/>
        <v>72021614.96</v>
      </c>
      <c r="N49" s="34">
        <f t="shared" si="4"/>
        <v>0.730606398874808</v>
      </c>
      <c r="O49" s="33">
        <f t="shared" si="22"/>
        <v>69852476.06</v>
      </c>
      <c r="P49" s="34">
        <f t="shared" si="5"/>
        <v>0.969882112457424</v>
      </c>
      <c r="Q49" s="33">
        <f t="shared" si="22"/>
        <v>441399932.27</v>
      </c>
      <c r="R49" s="33">
        <f t="shared" si="22"/>
        <v>18685798.98</v>
      </c>
      <c r="S49" s="34">
        <f t="shared" si="6"/>
        <v>0.0423330354490632</v>
      </c>
      <c r="T49" s="33">
        <f t="shared" si="22"/>
        <v>34690427.01</v>
      </c>
    </row>
    <row r="50" spans="1:20">
      <c r="A50" s="35" t="s">
        <v>61</v>
      </c>
      <c r="B50" s="36">
        <f>SUM(B49,B37,B29,B13)</f>
        <v>94349602.02</v>
      </c>
      <c r="C50" s="36">
        <f t="shared" ref="C50:T50" si="23">SUM(C49,C37,C29,C13)</f>
        <v>65446095.38</v>
      </c>
      <c r="D50" s="37">
        <f t="shared" si="0"/>
        <v>0.693655235197779</v>
      </c>
      <c r="E50" s="36">
        <f t="shared" si="23"/>
        <v>63773042.64</v>
      </c>
      <c r="F50" s="37">
        <f t="shared" si="1"/>
        <v>0.974436171779451</v>
      </c>
      <c r="G50" s="36">
        <f t="shared" si="23"/>
        <v>760266853.82</v>
      </c>
      <c r="H50" s="36">
        <f t="shared" si="23"/>
        <v>16832628.52</v>
      </c>
      <c r="I50" s="37">
        <f t="shared" si="2"/>
        <v>0.0221404213999645</v>
      </c>
      <c r="J50" s="36">
        <f t="shared" si="23"/>
        <v>30100442.17</v>
      </c>
      <c r="K50" s="37">
        <f t="shared" si="3"/>
        <v>0.0395919433009065</v>
      </c>
      <c r="L50" s="36">
        <f t="shared" si="23"/>
        <v>496671519.93</v>
      </c>
      <c r="M50" s="36">
        <f t="shared" si="23"/>
        <v>360736902.15</v>
      </c>
      <c r="N50" s="37">
        <f t="shared" si="4"/>
        <v>0.726308813118259</v>
      </c>
      <c r="O50" s="36">
        <f t="shared" si="23"/>
        <v>350720873.92</v>
      </c>
      <c r="P50" s="37">
        <f t="shared" si="5"/>
        <v>0.972234533893527</v>
      </c>
      <c r="Q50" s="36">
        <f t="shared" si="23"/>
        <v>1503353988.9</v>
      </c>
      <c r="R50" s="36">
        <f t="shared" si="23"/>
        <v>79107780.26</v>
      </c>
      <c r="S50" s="37">
        <f t="shared" si="6"/>
        <v>0.0526208603190543</v>
      </c>
      <c r="T50" s="36">
        <f t="shared" si="23"/>
        <v>152681685.19</v>
      </c>
    </row>
    <row r="51" spans="1:20">
      <c r="A51" s="24" t="s">
        <v>62</v>
      </c>
      <c r="B51" s="27">
        <f>VLOOKUP(A51,[1]ticket_pivot!$A$6:$V$127,2,FALSE)</f>
        <v>564045.73</v>
      </c>
      <c r="C51" s="27">
        <f>VLOOKUP(A51,[1]ticket_pivot!$A$6:$V$127,3,FALSE)</f>
        <v>169675.05</v>
      </c>
      <c r="D51" s="28">
        <f t="shared" si="0"/>
        <v>0.300817896449637</v>
      </c>
      <c r="E51" s="27">
        <f>VLOOKUP(A51,[1]ticket_pivot!$A$6:$V$127,4,FALSE)</f>
        <v>169465.23</v>
      </c>
      <c r="F51" s="28">
        <f t="shared" si="1"/>
        <v>0.998763400983232</v>
      </c>
      <c r="G51" s="27">
        <f>VLOOKUP(A51,[1]Sheet12!$A$5:$G$125,2,FALSE)</f>
        <v>2326962.82</v>
      </c>
      <c r="H51" s="27">
        <f>VLOOKUP(A51,[1]NPL!$A$5:$H$119,2,FALSE)</f>
        <v>307132.5</v>
      </c>
      <c r="I51" s="28">
        <f t="shared" si="2"/>
        <v>0.131988572125102</v>
      </c>
      <c r="J51" s="27">
        <f>VLOOKUP(A51,[1]PAR!$A$5:$H$120,2,FALSE)</f>
        <v>945378.63</v>
      </c>
      <c r="K51" s="28">
        <f t="shared" si="3"/>
        <v>0.406271480521549</v>
      </c>
      <c r="L51" s="27">
        <f>VLOOKUP(A51,[1]ticket_pivot!$A$6:$V$127,5,FALSE)</f>
        <v>5816029.83</v>
      </c>
      <c r="M51" s="27">
        <f>VLOOKUP(A51,[1]ticket_pivot!$A$6:$V$127,6,FALSE)</f>
        <v>3776910.19</v>
      </c>
      <c r="N51" s="28">
        <f t="shared" si="4"/>
        <v>0.649396633166856</v>
      </c>
      <c r="O51" s="27">
        <f>VLOOKUP(A51,[1]ticket_pivot!$A$6:$V$127,7,FALSE)</f>
        <v>3744744.23</v>
      </c>
      <c r="P51" s="28">
        <f t="shared" si="5"/>
        <v>0.991483525320468</v>
      </c>
      <c r="Q51" s="27">
        <f>VLOOKUP(A51,[1]Sheet12!$A$5:$G$125,3,FALSE)</f>
        <v>38511690.51</v>
      </c>
      <c r="R51" s="27">
        <f>VLOOKUP(A51,[1]NPL!$A$5:$H$119,3,FALSE)</f>
        <v>2444085.7</v>
      </c>
      <c r="S51" s="28">
        <f t="shared" si="6"/>
        <v>0.0634634747951499</v>
      </c>
      <c r="T51" s="27">
        <f>VLOOKUP(A51,[1]PAR!$A$5:$H$120,3,FALSE)</f>
        <v>2695449.76</v>
      </c>
    </row>
    <row r="52" spans="1:20">
      <c r="A52" s="24" t="s">
        <v>63</v>
      </c>
      <c r="B52" s="27">
        <f>VLOOKUP(A52,[1]ticket_pivot!$A$6:$V$127,2,FALSE)</f>
        <v>772371.83</v>
      </c>
      <c r="C52" s="27">
        <f>VLOOKUP(A52,[1]ticket_pivot!$A$6:$V$127,3,FALSE)</f>
        <v>486177.51</v>
      </c>
      <c r="D52" s="28">
        <f t="shared" si="0"/>
        <v>0.629460437468311</v>
      </c>
      <c r="E52" s="27">
        <f>VLOOKUP(A52,[1]ticket_pivot!$A$6:$V$127,4,FALSE)</f>
        <v>485316.82</v>
      </c>
      <c r="F52" s="28">
        <f t="shared" si="1"/>
        <v>0.9982296795259</v>
      </c>
      <c r="G52" s="27">
        <f>VLOOKUP(A52,[1]Sheet12!$A$5:$G$125,2,FALSE)</f>
        <v>6455439.32</v>
      </c>
      <c r="H52" s="27">
        <f>VLOOKUP(A52,[1]NPL!$A$5:$H$119,2,FALSE)</f>
        <v>0</v>
      </c>
      <c r="I52" s="28">
        <f t="shared" si="2"/>
        <v>0</v>
      </c>
      <c r="J52" s="27">
        <f>VLOOKUP(A52,[1]PAR!$A$5:$H$120,2,FALSE)</f>
        <v>961754.99</v>
      </c>
      <c r="K52" s="28">
        <f t="shared" si="3"/>
        <v>0.148983662044553</v>
      </c>
      <c r="L52" s="27">
        <f>VLOOKUP(A52,[1]ticket_pivot!$A$6:$V$127,5,FALSE)</f>
        <v>5771774.64</v>
      </c>
      <c r="M52" s="27">
        <f>VLOOKUP(A52,[1]ticket_pivot!$A$6:$V$127,6,FALSE)</f>
        <v>4449130.37</v>
      </c>
      <c r="N52" s="28">
        <f t="shared" si="4"/>
        <v>0.770842703934816</v>
      </c>
      <c r="O52" s="27">
        <f>VLOOKUP(A52,[1]ticket_pivot!$A$6:$V$127,7,FALSE)</f>
        <v>4379098.88</v>
      </c>
      <c r="P52" s="28">
        <f t="shared" si="5"/>
        <v>0.984259510471482</v>
      </c>
      <c r="Q52" s="27">
        <f>VLOOKUP(A52,[1]Sheet12!$A$5:$G$125,3,FALSE)</f>
        <v>61405790.63</v>
      </c>
      <c r="R52" s="27">
        <f>VLOOKUP(A52,[1]NPL!$A$5:$H$119,3,FALSE)</f>
        <v>1170507.81</v>
      </c>
      <c r="S52" s="28">
        <f t="shared" si="6"/>
        <v>0.0190618473924208</v>
      </c>
      <c r="T52" s="27">
        <f>VLOOKUP(A52,[1]PAR!$A$5:$H$120,3,FALSE)</f>
        <v>2066381.45</v>
      </c>
    </row>
    <row r="53" spans="1:20">
      <c r="A53" s="24" t="s">
        <v>64</v>
      </c>
      <c r="B53" s="27">
        <f>VLOOKUP(A53,[1]ticket_pivot!$A$6:$V$127,2,FALSE)</f>
        <v>1548741.58</v>
      </c>
      <c r="C53" s="27">
        <f>VLOOKUP(A53,[1]ticket_pivot!$A$6:$V$127,3,FALSE)</f>
        <v>601393.82</v>
      </c>
      <c r="D53" s="28">
        <f t="shared" si="0"/>
        <v>0.388311276565584</v>
      </c>
      <c r="E53" s="27">
        <f>VLOOKUP(A53,[1]ticket_pivot!$A$6:$V$127,4,FALSE)</f>
        <v>600354.46</v>
      </c>
      <c r="F53" s="28">
        <f t="shared" si="1"/>
        <v>0.998271748120059</v>
      </c>
      <c r="G53" s="27">
        <f>VLOOKUP(A53,[1]Sheet12!$A$5:$G$125,2,FALSE)</f>
        <v>14152287.18</v>
      </c>
      <c r="H53" s="27">
        <f>VLOOKUP(A53,[1]NPL!$A$5:$H$119,2,FALSE)</f>
        <v>956825.25</v>
      </c>
      <c r="I53" s="28">
        <f t="shared" si="2"/>
        <v>0.0676092307787666</v>
      </c>
      <c r="J53" s="27">
        <f>VLOOKUP(A53,[1]PAR!$A$5:$H$120,2,FALSE)</f>
        <v>1296254.15</v>
      </c>
      <c r="K53" s="28">
        <f t="shared" si="3"/>
        <v>0.0915932621712104</v>
      </c>
      <c r="L53" s="27">
        <f>VLOOKUP(A53,[1]ticket_pivot!$A$6:$V$127,5,FALSE)</f>
        <v>14705740.76</v>
      </c>
      <c r="M53" s="27">
        <f>VLOOKUP(A53,[1]ticket_pivot!$A$6:$V$127,6,FALSE)</f>
        <v>7765776.98</v>
      </c>
      <c r="N53" s="28">
        <f t="shared" si="4"/>
        <v>0.528077919143191</v>
      </c>
      <c r="O53" s="27">
        <f>VLOOKUP(A53,[1]ticket_pivot!$A$6:$V$127,7,FALSE)</f>
        <v>7306668.25</v>
      </c>
      <c r="P53" s="28">
        <f t="shared" si="5"/>
        <v>0.94088051573173</v>
      </c>
      <c r="Q53" s="27">
        <f>VLOOKUP(A53,[1]Sheet12!$A$5:$G$125,3,FALSE)</f>
        <v>38211282.42</v>
      </c>
      <c r="R53" s="27">
        <f>VLOOKUP(A53,[1]NPL!$A$5:$H$119,3,FALSE)</f>
        <v>7172622.78</v>
      </c>
      <c r="S53" s="28">
        <f t="shared" si="6"/>
        <v>0.187709553978377</v>
      </c>
      <c r="T53" s="27">
        <f>VLOOKUP(A53,[1]PAR!$A$5:$H$120,3,FALSE)</f>
        <v>13968708.17</v>
      </c>
    </row>
    <row r="54" spans="1:20">
      <c r="A54" s="24" t="s">
        <v>65</v>
      </c>
      <c r="B54" s="27"/>
      <c r="C54" s="27"/>
      <c r="D54" s="28" t="str">
        <f t="shared" si="0"/>
        <v/>
      </c>
      <c r="E54" s="27"/>
      <c r="F54" s="28" t="str">
        <f t="shared" si="1"/>
        <v/>
      </c>
      <c r="G54" s="27"/>
      <c r="H54" s="27"/>
      <c r="I54" s="28" t="str">
        <f t="shared" si="2"/>
        <v/>
      </c>
      <c r="J54" s="27"/>
      <c r="K54" s="28" t="str">
        <f t="shared" si="3"/>
        <v/>
      </c>
      <c r="L54" s="27"/>
      <c r="M54" s="27"/>
      <c r="N54" s="28" t="str">
        <f t="shared" si="4"/>
        <v/>
      </c>
      <c r="O54" s="27"/>
      <c r="P54" s="28" t="str">
        <f t="shared" si="5"/>
        <v/>
      </c>
      <c r="Q54" s="27"/>
      <c r="R54" s="27"/>
      <c r="S54" s="28" t="str">
        <f t="shared" si="6"/>
        <v/>
      </c>
      <c r="T54" s="27"/>
    </row>
    <row r="55" spans="1:20">
      <c r="A55" s="29" t="s">
        <v>66</v>
      </c>
      <c r="B55" s="30">
        <f>SUM(B51:B54)</f>
        <v>2885159.14</v>
      </c>
      <c r="C55" s="30">
        <f t="shared" ref="C55:T55" si="24">SUM(C51:C54)</f>
        <v>1257246.38</v>
      </c>
      <c r="D55" s="31">
        <f t="shared" si="0"/>
        <v>0.4357632695436</v>
      </c>
      <c r="E55" s="30">
        <f t="shared" si="24"/>
        <v>1255136.51</v>
      </c>
      <c r="F55" s="31">
        <f t="shared" si="1"/>
        <v>0.998321832511461</v>
      </c>
      <c r="G55" s="30">
        <f t="shared" si="24"/>
        <v>22934689.32</v>
      </c>
      <c r="H55" s="30">
        <f t="shared" si="24"/>
        <v>1263957.75</v>
      </c>
      <c r="I55" s="31">
        <f t="shared" si="2"/>
        <v>0.0551111781966794</v>
      </c>
      <c r="J55" s="30">
        <f t="shared" si="24"/>
        <v>3203387.77</v>
      </c>
      <c r="K55" s="31">
        <f t="shared" si="3"/>
        <v>0.139674347679369</v>
      </c>
      <c r="L55" s="30">
        <f t="shared" si="24"/>
        <v>26293545.23</v>
      </c>
      <c r="M55" s="30">
        <f t="shared" si="24"/>
        <v>15991817.54</v>
      </c>
      <c r="N55" s="31">
        <f t="shared" si="4"/>
        <v>0.608203169261249</v>
      </c>
      <c r="O55" s="30">
        <f t="shared" si="24"/>
        <v>15430511.36</v>
      </c>
      <c r="P55" s="31">
        <f t="shared" si="5"/>
        <v>0.964900413689938</v>
      </c>
      <c r="Q55" s="30">
        <f t="shared" si="24"/>
        <v>138128763.56</v>
      </c>
      <c r="R55" s="30">
        <f t="shared" si="24"/>
        <v>10787216.29</v>
      </c>
      <c r="S55" s="31">
        <f t="shared" si="6"/>
        <v>0.0780953655993183</v>
      </c>
      <c r="T55" s="30">
        <f t="shared" si="24"/>
        <v>18730539.38</v>
      </c>
    </row>
    <row r="56" spans="1:20">
      <c r="A56" s="24" t="s">
        <v>67</v>
      </c>
      <c r="B56" s="27">
        <f>VLOOKUP(A56,[1]ticket_pivot!$A$6:$V$127,2,FALSE)</f>
        <v>394678.54</v>
      </c>
      <c r="C56" s="27">
        <f>VLOOKUP(A56,[1]ticket_pivot!$A$6:$V$127,3,FALSE)</f>
        <v>212088.37</v>
      </c>
      <c r="D56" s="28">
        <f t="shared" si="0"/>
        <v>0.537369906151979</v>
      </c>
      <c r="E56" s="27">
        <f>VLOOKUP(A56,[1]ticket_pivot!$A$6:$V$127,4,FALSE)</f>
        <v>211846.78</v>
      </c>
      <c r="F56" s="28">
        <f t="shared" si="1"/>
        <v>0.998860899350587</v>
      </c>
      <c r="G56" s="27">
        <f>VLOOKUP(A56,[1]Sheet12!$A$5:$G$125,2,FALSE)</f>
        <v>2056376.1</v>
      </c>
      <c r="H56" s="27">
        <f>VLOOKUP(A56,[1]NPL!$A$5:$H$119,2,FALSE)</f>
        <v>81351.24</v>
      </c>
      <c r="I56" s="28">
        <f t="shared" si="2"/>
        <v>0.0395604870140243</v>
      </c>
      <c r="J56" s="27">
        <f>VLOOKUP(A56,[1]PAR!$A$5:$H$120,2,FALSE)</f>
        <v>261516.02</v>
      </c>
      <c r="K56" s="28">
        <f t="shared" si="3"/>
        <v>0.127173244232901</v>
      </c>
      <c r="L56" s="27">
        <f>VLOOKUP(A56,[1]ticket_pivot!$A$6:$V$127,5,FALSE)</f>
        <v>9827002.45</v>
      </c>
      <c r="M56" s="27">
        <f>VLOOKUP(A56,[1]ticket_pivot!$A$6:$V$127,6,FALSE)</f>
        <v>5336362.58</v>
      </c>
      <c r="N56" s="28">
        <f t="shared" si="4"/>
        <v>0.543030553533646</v>
      </c>
      <c r="O56" s="27">
        <f>VLOOKUP(A56,[1]ticket_pivot!$A$6:$V$127,7,FALSE)</f>
        <v>5220196.18</v>
      </c>
      <c r="P56" s="28">
        <f t="shared" si="5"/>
        <v>0.978231164344909</v>
      </c>
      <c r="Q56" s="27">
        <f>VLOOKUP(A56,[1]Sheet12!$A$5:$G$125,3,FALSE)</f>
        <v>74900163.95</v>
      </c>
      <c r="R56" s="27">
        <f>VLOOKUP(A56,[1]NPL!$A$5:$H$119,3,FALSE)</f>
        <v>4906186.61</v>
      </c>
      <c r="S56" s="28">
        <f t="shared" si="6"/>
        <v>0.0655030156312495</v>
      </c>
      <c r="T56" s="27">
        <f>VLOOKUP(A56,[1]PAR!$A$5:$H$120,3,FALSE)</f>
        <v>12472584.29</v>
      </c>
    </row>
    <row r="57" spans="1:20">
      <c r="A57" s="24" t="s">
        <v>68</v>
      </c>
      <c r="B57" s="27">
        <f>VLOOKUP(A57,[1]ticket_pivot!$A$6:$V$127,2,FALSE)</f>
        <v>633819.02</v>
      </c>
      <c r="C57" s="27">
        <f>VLOOKUP(A57,[1]ticket_pivot!$A$6:$V$127,3,FALSE)</f>
        <v>247817.82</v>
      </c>
      <c r="D57" s="28">
        <f t="shared" si="0"/>
        <v>0.390991453680264</v>
      </c>
      <c r="E57" s="27">
        <f>VLOOKUP(A57,[1]ticket_pivot!$A$6:$V$127,4,FALSE)</f>
        <v>247781</v>
      </c>
      <c r="F57" s="28">
        <f t="shared" si="1"/>
        <v>0.999851423113963</v>
      </c>
      <c r="G57" s="27">
        <f>VLOOKUP(A57,[1]Sheet12!$A$5:$G$125,2,FALSE)</f>
        <v>4684108.15</v>
      </c>
      <c r="H57" s="27">
        <f>VLOOKUP(A57,[1]NPL!$A$5:$H$119,2,FALSE)</f>
        <v>0</v>
      </c>
      <c r="I57" s="28">
        <f t="shared" si="2"/>
        <v>0</v>
      </c>
      <c r="J57" s="27">
        <f>VLOOKUP(A57,[1]PAR!$A$5:$H$120,2,FALSE)</f>
        <v>869035.29</v>
      </c>
      <c r="K57" s="28">
        <f t="shared" si="3"/>
        <v>0.185528442591574</v>
      </c>
      <c r="L57" s="27">
        <f>VLOOKUP(A57,[1]ticket_pivot!$A$6:$V$127,5,FALSE)</f>
        <v>9630604.33</v>
      </c>
      <c r="M57" s="27">
        <f>VLOOKUP(A57,[1]ticket_pivot!$A$6:$V$127,6,FALSE)</f>
        <v>7167206.5</v>
      </c>
      <c r="N57" s="28">
        <f t="shared" si="4"/>
        <v>0.744211500588146</v>
      </c>
      <c r="O57" s="27">
        <f>VLOOKUP(A57,[1]ticket_pivot!$A$6:$V$127,7,FALSE)</f>
        <v>6561574.32</v>
      </c>
      <c r="P57" s="28">
        <f t="shared" si="5"/>
        <v>0.915499549231628</v>
      </c>
      <c r="Q57" s="27">
        <f>VLOOKUP(A57,[1]Sheet12!$A$5:$G$125,3,FALSE)</f>
        <v>54081026.11</v>
      </c>
      <c r="R57" s="27">
        <f>VLOOKUP(A57,[1]NPL!$A$5:$H$119,3,FALSE)</f>
        <v>3181590.67</v>
      </c>
      <c r="S57" s="28">
        <f t="shared" si="6"/>
        <v>0.0588300721870308</v>
      </c>
      <c r="T57" s="27">
        <f>VLOOKUP(A57,[1]PAR!$A$5:$H$120,3,FALSE)</f>
        <v>5487002.36</v>
      </c>
    </row>
    <row r="58" spans="1:20">
      <c r="A58" s="24" t="s">
        <v>69</v>
      </c>
      <c r="B58" s="27">
        <f>VLOOKUP(A58,[1]ticket_pivot!$A$6:$V$127,2,FALSE)</f>
        <v>1293228.28</v>
      </c>
      <c r="C58" s="27">
        <f>VLOOKUP(A58,[1]ticket_pivot!$A$6:$V$127,3,FALSE)</f>
        <v>238812.25</v>
      </c>
      <c r="D58" s="28">
        <f t="shared" si="0"/>
        <v>0.184663646545063</v>
      </c>
      <c r="E58" s="27">
        <f>VLOOKUP(A58,[1]ticket_pivot!$A$6:$V$127,4,FALSE)</f>
        <v>238525.04</v>
      </c>
      <c r="F58" s="28">
        <f t="shared" si="1"/>
        <v>0.998797339751206</v>
      </c>
      <c r="G58" s="27">
        <f>VLOOKUP(A58,[1]Sheet12!$A$5:$G$125,2,FALSE)</f>
        <v>5600706.16</v>
      </c>
      <c r="H58" s="27">
        <f>VLOOKUP(A58,[1]NPL!$A$5:$H$119,2,FALSE)</f>
        <v>1289470.67</v>
      </c>
      <c r="I58" s="28">
        <f t="shared" si="2"/>
        <v>0.230233587187513</v>
      </c>
      <c r="J58" s="27">
        <f>VLOOKUP(A58,[1]PAR!$A$5:$H$120,2,FALSE)</f>
        <v>1968958.99</v>
      </c>
      <c r="K58" s="28">
        <f t="shared" si="3"/>
        <v>0.351555488495758</v>
      </c>
      <c r="L58" s="27">
        <f>VLOOKUP(A58,[1]ticket_pivot!$A$6:$V$127,5,FALSE)</f>
        <v>11515007.22</v>
      </c>
      <c r="M58" s="27">
        <f>VLOOKUP(A58,[1]ticket_pivot!$A$6:$V$127,6,FALSE)</f>
        <v>8708316.78</v>
      </c>
      <c r="N58" s="28">
        <f t="shared" si="4"/>
        <v>0.756258039063566</v>
      </c>
      <c r="O58" s="27">
        <f>VLOOKUP(A58,[1]ticket_pivot!$A$6:$V$127,7,FALSE)</f>
        <v>8554012.84</v>
      </c>
      <c r="P58" s="28">
        <f t="shared" si="5"/>
        <v>0.982280853591088</v>
      </c>
      <c r="Q58" s="27">
        <f>VLOOKUP(A58,[1]Sheet12!$A$5:$G$125,3,FALSE)</f>
        <v>68430804.14</v>
      </c>
      <c r="R58" s="27">
        <f>VLOOKUP(A58,[1]NPL!$A$5:$H$119,3,FALSE)</f>
        <v>2314783.37</v>
      </c>
      <c r="S58" s="28">
        <f t="shared" si="6"/>
        <v>0.0338266282135787</v>
      </c>
      <c r="T58" s="27">
        <f>VLOOKUP(A58,[1]PAR!$A$5:$H$120,3,FALSE)</f>
        <v>4116850.39</v>
      </c>
    </row>
    <row r="59" spans="1:20">
      <c r="A59" s="24" t="s">
        <v>70</v>
      </c>
      <c r="B59" s="27">
        <f>VLOOKUP(A59,[1]ticket_pivot!$A$6:$V$127,2,FALSE)</f>
        <v>417465.47</v>
      </c>
      <c r="C59" s="27">
        <f>VLOOKUP(A59,[1]ticket_pivot!$A$6:$V$127,3,FALSE)</f>
        <v>311145.96</v>
      </c>
      <c r="D59" s="28">
        <f t="shared" si="0"/>
        <v>0.745321427422488</v>
      </c>
      <c r="E59" s="27">
        <f>VLOOKUP(A59,[1]ticket_pivot!$A$6:$V$127,4,FALSE)</f>
        <v>292680.27</v>
      </c>
      <c r="F59" s="28">
        <f t="shared" si="1"/>
        <v>0.940652644180243</v>
      </c>
      <c r="G59" s="27">
        <f>VLOOKUP(A59,[1]Sheet12!$A$5:$G$125,2,FALSE)</f>
        <v>4902759.55</v>
      </c>
      <c r="H59" s="27">
        <f>VLOOKUP(A59,[1]NPL!$A$5:$H$119,2,FALSE)</f>
        <v>0</v>
      </c>
      <c r="I59" s="28">
        <f t="shared" si="2"/>
        <v>0</v>
      </c>
      <c r="J59" s="27">
        <f>VLOOKUP(A59,[1]PAR!$A$5:$H$120,2,FALSE)</f>
        <v>222118.55</v>
      </c>
      <c r="K59" s="28">
        <f t="shared" si="3"/>
        <v>0.0453048018640849</v>
      </c>
      <c r="L59" s="27">
        <f>VLOOKUP(A59,[1]ticket_pivot!$A$6:$V$127,5,FALSE)</f>
        <v>9885760.33</v>
      </c>
      <c r="M59" s="27">
        <f>VLOOKUP(A59,[1]ticket_pivot!$A$6:$V$127,6,FALSE)</f>
        <v>8032715.68</v>
      </c>
      <c r="N59" s="28">
        <f t="shared" si="4"/>
        <v>0.812554159908508</v>
      </c>
      <c r="O59" s="27">
        <f>VLOOKUP(A59,[1]ticket_pivot!$A$6:$V$127,7,FALSE)</f>
        <v>7906532.96</v>
      </c>
      <c r="P59" s="28">
        <f t="shared" si="5"/>
        <v>0.984291399692613</v>
      </c>
      <c r="Q59" s="27">
        <f>VLOOKUP(A59,[1]Sheet12!$A$5:$G$125,3,FALSE)</f>
        <v>76593412.38</v>
      </c>
      <c r="R59" s="27">
        <f>VLOOKUP(A59,[1]NPL!$A$5:$H$119,3,FALSE)</f>
        <v>1929247.23</v>
      </c>
      <c r="S59" s="28">
        <f t="shared" si="6"/>
        <v>0.0251881613581661</v>
      </c>
      <c r="T59" s="27">
        <f>VLOOKUP(A59,[1]PAR!$A$5:$H$120,3,FALSE)</f>
        <v>3074449.86</v>
      </c>
    </row>
    <row r="60" spans="1:20">
      <c r="A60" s="24" t="s">
        <v>71</v>
      </c>
      <c r="B60" s="27">
        <f>VLOOKUP(A60,[1]ticket_pivot!$A$6:$V$127,2,FALSE)</f>
        <v>0</v>
      </c>
      <c r="C60" s="27">
        <f>VLOOKUP(A60,[1]ticket_pivot!$A$6:$V$127,3,FALSE)</f>
        <v>0</v>
      </c>
      <c r="D60" s="28" t="str">
        <f t="shared" si="0"/>
        <v/>
      </c>
      <c r="E60" s="27">
        <f>VLOOKUP(A60,[1]ticket_pivot!$A$6:$V$127,4,FALSE)</f>
        <v>0</v>
      </c>
      <c r="F60" s="28" t="str">
        <f t="shared" si="1"/>
        <v/>
      </c>
      <c r="G60" s="27">
        <f>VLOOKUP(A60,[1]Sheet12!$A$5:$G$125,2,FALSE)</f>
        <v>0</v>
      </c>
      <c r="H60" s="27"/>
      <c r="I60" s="28" t="str">
        <f t="shared" si="2"/>
        <v/>
      </c>
      <c r="J60" s="27"/>
      <c r="K60" s="28" t="str">
        <f t="shared" si="3"/>
        <v/>
      </c>
      <c r="L60" s="27">
        <f>VLOOKUP(A60,[1]ticket_pivot!$A$6:$V$127,5,FALSE)</f>
        <v>98644.45</v>
      </c>
      <c r="M60" s="27">
        <f>VLOOKUP(A60,[1]ticket_pivot!$A$6:$V$127,6,FALSE)</f>
        <v>0</v>
      </c>
      <c r="N60" s="28">
        <f t="shared" si="4"/>
        <v>0</v>
      </c>
      <c r="O60" s="27">
        <f>VLOOKUP(A60,[1]ticket_pivot!$A$6:$V$127,7,FALSE)</f>
        <v>0</v>
      </c>
      <c r="P60" s="28" t="str">
        <f t="shared" si="5"/>
        <v/>
      </c>
      <c r="Q60" s="27">
        <f>VLOOKUP(A60,[1]Sheet12!$A$5:$G$125,3,FALSE)</f>
        <v>0</v>
      </c>
      <c r="R60" s="27"/>
      <c r="S60" s="28" t="str">
        <f t="shared" si="6"/>
        <v/>
      </c>
      <c r="T60" s="27"/>
    </row>
    <row r="61" spans="1:20">
      <c r="A61" s="29" t="s">
        <v>72</v>
      </c>
      <c r="B61" s="30">
        <f>SUM(B56:B60)</f>
        <v>2739191.31</v>
      </c>
      <c r="C61" s="30">
        <f t="shared" ref="C61:T61" si="25">SUM(C56:C60)</f>
        <v>1009864.4</v>
      </c>
      <c r="D61" s="31">
        <f t="shared" si="0"/>
        <v>0.368672460486157</v>
      </c>
      <c r="E61" s="30">
        <f t="shared" si="25"/>
        <v>990833.09</v>
      </c>
      <c r="F61" s="31">
        <f t="shared" si="1"/>
        <v>0.98115458867547</v>
      </c>
      <c r="G61" s="30">
        <f t="shared" si="25"/>
        <v>17243949.96</v>
      </c>
      <c r="H61" s="30">
        <f t="shared" si="25"/>
        <v>1370821.91</v>
      </c>
      <c r="I61" s="31">
        <f t="shared" si="2"/>
        <v>0.0794958181379459</v>
      </c>
      <c r="J61" s="30">
        <f t="shared" si="25"/>
        <v>3321628.85</v>
      </c>
      <c r="K61" s="31">
        <f t="shared" si="3"/>
        <v>0.192625753247083</v>
      </c>
      <c r="L61" s="30">
        <f t="shared" si="25"/>
        <v>40957018.78</v>
      </c>
      <c r="M61" s="30">
        <f t="shared" si="25"/>
        <v>29244601.54</v>
      </c>
      <c r="N61" s="31">
        <f t="shared" si="4"/>
        <v>0.71403149963348</v>
      </c>
      <c r="O61" s="30">
        <f t="shared" si="25"/>
        <v>28242316.3</v>
      </c>
      <c r="P61" s="31">
        <f t="shared" si="5"/>
        <v>0.965727512524693</v>
      </c>
      <c r="Q61" s="30">
        <f t="shared" si="25"/>
        <v>274005406.58</v>
      </c>
      <c r="R61" s="30">
        <f t="shared" si="25"/>
        <v>12331807.88</v>
      </c>
      <c r="S61" s="31">
        <f t="shared" si="6"/>
        <v>0.0450057100475481</v>
      </c>
      <c r="T61" s="30">
        <f t="shared" si="25"/>
        <v>25150886.9</v>
      </c>
    </row>
    <row r="62" spans="1:20">
      <c r="A62" s="32" t="s">
        <v>73</v>
      </c>
      <c r="B62" s="33">
        <f>SUM(B61,B55)</f>
        <v>5624350.45</v>
      </c>
      <c r="C62" s="33">
        <f>SUM(C61,C55)</f>
        <v>2267110.78</v>
      </c>
      <c r="D62" s="34">
        <f t="shared" si="0"/>
        <v>0.403088463308683</v>
      </c>
      <c r="E62" s="33">
        <f t="shared" ref="E62:T62" si="26">SUM(E61,E55)</f>
        <v>2245969.6</v>
      </c>
      <c r="F62" s="34">
        <f t="shared" si="1"/>
        <v>0.990674835924868</v>
      </c>
      <c r="G62" s="33">
        <f t="shared" si="26"/>
        <v>40178639.28</v>
      </c>
      <c r="H62" s="33">
        <f t="shared" si="26"/>
        <v>2634779.66</v>
      </c>
      <c r="I62" s="34">
        <f t="shared" si="2"/>
        <v>0.0655766274621334</v>
      </c>
      <c r="J62" s="33">
        <f t="shared" si="26"/>
        <v>6525016.62</v>
      </c>
      <c r="K62" s="34">
        <f t="shared" si="3"/>
        <v>0.162400139400639</v>
      </c>
      <c r="L62" s="33">
        <f t="shared" si="26"/>
        <v>67250564.01</v>
      </c>
      <c r="M62" s="33">
        <f t="shared" si="26"/>
        <v>45236419.08</v>
      </c>
      <c r="N62" s="34">
        <f t="shared" si="4"/>
        <v>0.67265486536698</v>
      </c>
      <c r="O62" s="33">
        <f t="shared" si="26"/>
        <v>43672827.66</v>
      </c>
      <c r="P62" s="34">
        <f t="shared" si="5"/>
        <v>0.965435119494432</v>
      </c>
      <c r="Q62" s="33">
        <f t="shared" si="26"/>
        <v>412134170.14</v>
      </c>
      <c r="R62" s="33">
        <f t="shared" si="26"/>
        <v>23119024.17</v>
      </c>
      <c r="S62" s="34">
        <f t="shared" si="6"/>
        <v>0.0560958683968053</v>
      </c>
      <c r="T62" s="33">
        <f t="shared" si="26"/>
        <v>43881426.28</v>
      </c>
    </row>
    <row r="63" spans="1:20">
      <c r="A63" s="24" t="s">
        <v>74</v>
      </c>
      <c r="B63" s="27">
        <f>VLOOKUP(A63,[1]ticket_pivot!$A$6:$V$127,2,FALSE)</f>
        <v>198315.63</v>
      </c>
      <c r="C63" s="27">
        <f>VLOOKUP(A63,[1]ticket_pivot!$A$6:$V$127,3,FALSE)</f>
        <v>198631.66</v>
      </c>
      <c r="D63" s="28">
        <f t="shared" si="0"/>
        <v>1.00159357081436</v>
      </c>
      <c r="E63" s="27">
        <f>VLOOKUP(A63,[1]ticket_pivot!$A$6:$V$127,4,FALSE)</f>
        <v>198315.63</v>
      </c>
      <c r="F63" s="28">
        <f t="shared" si="1"/>
        <v>0.998408964613194</v>
      </c>
      <c r="G63" s="27">
        <f>VLOOKUP(A63,[1]Sheet12!$A$5:$G$125,2,FALSE)</f>
        <v>3105506.82</v>
      </c>
      <c r="H63" s="27"/>
      <c r="I63" s="28">
        <f t="shared" si="2"/>
        <v>0</v>
      </c>
      <c r="J63" s="27"/>
      <c r="K63" s="28">
        <f t="shared" si="3"/>
        <v>0</v>
      </c>
      <c r="L63" s="27">
        <f>VLOOKUP(A63,[1]ticket_pivot!$A$6:$V$127,5,FALSE)</f>
        <v>2569606.72</v>
      </c>
      <c r="M63" s="27">
        <f>VLOOKUP(A63,[1]ticket_pivot!$A$6:$V$127,6,FALSE)</f>
        <v>2425379.42</v>
      </c>
      <c r="N63" s="28">
        <f t="shared" si="4"/>
        <v>0.94387183887813</v>
      </c>
      <c r="O63" s="27">
        <f>VLOOKUP(A63,[1]ticket_pivot!$A$6:$V$127,7,FALSE)</f>
        <v>2423903.49</v>
      </c>
      <c r="P63" s="28">
        <f t="shared" si="5"/>
        <v>0.999391464284792</v>
      </c>
      <c r="Q63" s="27">
        <f>VLOOKUP(A63,[1]Sheet12!$A$5:$G$125,3,FALSE)</f>
        <v>0</v>
      </c>
      <c r="R63" s="27"/>
      <c r="S63" s="28" t="str">
        <f t="shared" si="6"/>
        <v/>
      </c>
      <c r="T63" s="27"/>
    </row>
    <row r="64" spans="1:20">
      <c r="A64" s="24" t="s">
        <v>75</v>
      </c>
      <c r="B64" s="27">
        <f>VLOOKUP(A64,[1]ticket_pivot!$A$6:$V$127,2,FALSE)</f>
        <v>1256099.4</v>
      </c>
      <c r="C64" s="27">
        <f>VLOOKUP(A64,[1]ticket_pivot!$A$6:$V$127,3,FALSE)</f>
        <v>185438.31</v>
      </c>
      <c r="D64" s="28">
        <f t="shared" si="0"/>
        <v>0.1476302830811</v>
      </c>
      <c r="E64" s="27">
        <f>VLOOKUP(A64,[1]ticket_pivot!$A$6:$V$127,4,FALSE)</f>
        <v>183984.51</v>
      </c>
      <c r="F64" s="28">
        <f t="shared" si="1"/>
        <v>0.99216019602422</v>
      </c>
      <c r="G64" s="27">
        <f>VLOOKUP(A64,[1]Sheet12!$A$5:$G$125,2,FALSE)</f>
        <v>4021086.89</v>
      </c>
      <c r="H64" s="27">
        <f>VLOOKUP(A64,[1]NPL!$A$5:$H$119,2,FALSE)</f>
        <v>1053598.61</v>
      </c>
      <c r="I64" s="28">
        <f t="shared" si="2"/>
        <v>0.262018364393016</v>
      </c>
      <c r="J64" s="27">
        <f>VLOOKUP(A64,[1]PAR!$A$5:$H$120,2,FALSE)</f>
        <v>1053598.61</v>
      </c>
      <c r="K64" s="28">
        <f t="shared" si="3"/>
        <v>0.262018364393016</v>
      </c>
      <c r="L64" s="27">
        <f>VLOOKUP(A64,[1]ticket_pivot!$A$6:$V$127,5,FALSE)</f>
        <v>28110783.92</v>
      </c>
      <c r="M64" s="27">
        <f>VLOOKUP(A64,[1]ticket_pivot!$A$6:$V$127,6,FALSE)</f>
        <v>19994691.29</v>
      </c>
      <c r="N64" s="28">
        <f t="shared" si="4"/>
        <v>0.711281881960409</v>
      </c>
      <c r="O64" s="27">
        <f>VLOOKUP(A64,[1]ticket_pivot!$A$6:$V$127,7,FALSE)</f>
        <v>18893758.42</v>
      </c>
      <c r="P64" s="28">
        <f t="shared" si="5"/>
        <v>0.944938741287263</v>
      </c>
      <c r="Q64" s="27">
        <f>VLOOKUP(A64,[1]Sheet12!$A$5:$G$125,3,FALSE)</f>
        <v>41921593.54</v>
      </c>
      <c r="R64" s="27">
        <f>VLOOKUP(A64,[1]NPL!$A$5:$H$119,3,FALSE)</f>
        <v>5695289.45</v>
      </c>
      <c r="S64" s="28">
        <f t="shared" si="6"/>
        <v>0.13585574805418</v>
      </c>
      <c r="T64" s="27">
        <f>VLOOKUP(A64,[1]PAR!$A$5:$H$120,3,FALSE)</f>
        <v>11916900.55</v>
      </c>
    </row>
    <row r="65" spans="1:20">
      <c r="A65" s="24" t="s">
        <v>76</v>
      </c>
      <c r="B65" s="27">
        <f>VLOOKUP(A65,[1]ticket_pivot!$A$6:$V$127,2,FALSE)</f>
        <v>0</v>
      </c>
      <c r="C65" s="27">
        <f>VLOOKUP(A65,[1]ticket_pivot!$A$6:$V$127,3,FALSE)</f>
        <v>0</v>
      </c>
      <c r="D65" s="28" t="str">
        <f t="shared" si="0"/>
        <v/>
      </c>
      <c r="E65" s="27">
        <f>VLOOKUP(A65,[1]ticket_pivot!$A$6:$V$127,4,FALSE)</f>
        <v>0</v>
      </c>
      <c r="F65" s="28" t="str">
        <f t="shared" si="1"/>
        <v/>
      </c>
      <c r="G65" s="27">
        <f>VLOOKUP(A65,[1]Sheet12!$A$5:$G$125,2,FALSE)</f>
        <v>0</v>
      </c>
      <c r="H65" s="27"/>
      <c r="I65" s="28" t="str">
        <f t="shared" si="2"/>
        <v/>
      </c>
      <c r="J65" s="27"/>
      <c r="K65" s="28" t="str">
        <f t="shared" si="3"/>
        <v/>
      </c>
      <c r="L65" s="27">
        <f>VLOOKUP(A65,[1]ticket_pivot!$A$6:$V$127,5,FALSE)</f>
        <v>3601126.21</v>
      </c>
      <c r="M65" s="27">
        <f>VLOOKUP(A65,[1]ticket_pivot!$A$6:$V$127,6,FALSE)</f>
        <v>3190027.1</v>
      </c>
      <c r="N65" s="28">
        <f t="shared" si="4"/>
        <v>0.885841515674065</v>
      </c>
      <c r="O65" s="27">
        <f>VLOOKUP(A65,[1]ticket_pivot!$A$6:$V$127,7,FALSE)</f>
        <v>3187217.79</v>
      </c>
      <c r="P65" s="28">
        <f t="shared" si="5"/>
        <v>0.999119346039411</v>
      </c>
      <c r="Q65" s="27">
        <f>VLOOKUP(A65,[1]Sheet12!$A$5:$G$125,3,FALSE)</f>
        <v>14067569.85</v>
      </c>
      <c r="R65" s="27"/>
      <c r="S65" s="28">
        <f t="shared" si="6"/>
        <v>0</v>
      </c>
      <c r="T65" s="27"/>
    </row>
    <row r="66" spans="1:20">
      <c r="A66" s="29" t="s">
        <v>77</v>
      </c>
      <c r="B66" s="30">
        <f>SUM(B63:B65)</f>
        <v>1454415.03</v>
      </c>
      <c r="C66" s="30">
        <f t="shared" ref="C66:T66" si="27">SUM(C63:C65)</f>
        <v>384069.97</v>
      </c>
      <c r="D66" s="31">
        <f t="shared" si="0"/>
        <v>0.264071782866545</v>
      </c>
      <c r="E66" s="30">
        <f t="shared" si="27"/>
        <v>382300.14</v>
      </c>
      <c r="F66" s="31">
        <f t="shared" si="1"/>
        <v>0.995391907365213</v>
      </c>
      <c r="G66" s="30">
        <f t="shared" si="27"/>
        <v>7126593.71</v>
      </c>
      <c r="H66" s="30">
        <f t="shared" si="27"/>
        <v>1053598.61</v>
      </c>
      <c r="I66" s="31">
        <f t="shared" si="2"/>
        <v>0.147840420385071</v>
      </c>
      <c r="J66" s="30">
        <f t="shared" si="27"/>
        <v>1053598.61</v>
      </c>
      <c r="K66" s="31">
        <f t="shared" si="3"/>
        <v>0.147840420385071</v>
      </c>
      <c r="L66" s="30">
        <f t="shared" si="27"/>
        <v>34281516.85</v>
      </c>
      <c r="M66" s="30">
        <f t="shared" si="27"/>
        <v>25610097.81</v>
      </c>
      <c r="N66" s="31">
        <f t="shared" si="4"/>
        <v>0.747052644200603</v>
      </c>
      <c r="O66" s="30">
        <f t="shared" si="27"/>
        <v>24504879.7</v>
      </c>
      <c r="P66" s="31">
        <f t="shared" si="5"/>
        <v>0.956844440103293</v>
      </c>
      <c r="Q66" s="30">
        <f t="shared" si="27"/>
        <v>55989163.39</v>
      </c>
      <c r="R66" s="30">
        <f t="shared" si="27"/>
        <v>5695289.45</v>
      </c>
      <c r="S66" s="31">
        <f t="shared" si="6"/>
        <v>0.101721281497434</v>
      </c>
      <c r="T66" s="30">
        <f t="shared" si="27"/>
        <v>11916900.55</v>
      </c>
    </row>
    <row r="67" spans="1:20">
      <c r="A67" s="32" t="s">
        <v>78</v>
      </c>
      <c r="B67" s="33">
        <f>B66</f>
        <v>1454415.03</v>
      </c>
      <c r="C67" s="33">
        <f t="shared" ref="C67:T67" si="28">C66</f>
        <v>384069.97</v>
      </c>
      <c r="D67" s="34">
        <f t="shared" si="0"/>
        <v>0.264071782866545</v>
      </c>
      <c r="E67" s="33">
        <f t="shared" si="28"/>
        <v>382300.14</v>
      </c>
      <c r="F67" s="34">
        <f t="shared" si="1"/>
        <v>0.995391907365213</v>
      </c>
      <c r="G67" s="33">
        <f t="shared" si="28"/>
        <v>7126593.71</v>
      </c>
      <c r="H67" s="33">
        <f t="shared" si="28"/>
        <v>1053598.61</v>
      </c>
      <c r="I67" s="34">
        <f t="shared" si="2"/>
        <v>0.147840420385071</v>
      </c>
      <c r="J67" s="33">
        <f t="shared" si="28"/>
        <v>1053598.61</v>
      </c>
      <c r="K67" s="34">
        <f t="shared" si="3"/>
        <v>0.147840420385071</v>
      </c>
      <c r="L67" s="33">
        <f t="shared" si="28"/>
        <v>34281516.85</v>
      </c>
      <c r="M67" s="33">
        <f t="shared" si="28"/>
        <v>25610097.81</v>
      </c>
      <c r="N67" s="34">
        <f t="shared" si="4"/>
        <v>0.747052644200603</v>
      </c>
      <c r="O67" s="33">
        <f t="shared" si="28"/>
        <v>24504879.7</v>
      </c>
      <c r="P67" s="34">
        <f t="shared" si="5"/>
        <v>0.956844440103293</v>
      </c>
      <c r="Q67" s="33">
        <f>Q66</f>
        <v>55989163.39</v>
      </c>
      <c r="R67" s="33">
        <f t="shared" si="28"/>
        <v>5695289.45</v>
      </c>
      <c r="S67" s="34">
        <f t="shared" si="6"/>
        <v>0.101721281497434</v>
      </c>
      <c r="T67" s="33">
        <f t="shared" si="28"/>
        <v>11916900.55</v>
      </c>
    </row>
    <row r="68" spans="1:20">
      <c r="A68" s="24" t="s">
        <v>79</v>
      </c>
      <c r="B68" s="27">
        <f>VLOOKUP(A68,[1]ticket_pivot!$A$6:$V$127,2,FALSE)</f>
        <v>3954834.64</v>
      </c>
      <c r="C68" s="27">
        <f>VLOOKUP(A68,[1]ticket_pivot!$A$6:$V$127,3,FALSE)</f>
        <v>1185792.03</v>
      </c>
      <c r="D68" s="28">
        <f t="shared" ref="D68:D131" si="29">IFERROR(C68/B68,"")</f>
        <v>0.299833529828696</v>
      </c>
      <c r="E68" s="27">
        <f>VLOOKUP(A68,[1]ticket_pivot!$A$6:$V$127,4,FALSE)</f>
        <v>1174203.06</v>
      </c>
      <c r="F68" s="28">
        <f t="shared" ref="F68:F131" si="30">IFERROR(E68/C68,"")</f>
        <v>0.990226810682814</v>
      </c>
      <c r="G68" s="27">
        <f>VLOOKUP(A68,[1]Sheet12!$A$5:$G$125,2,FALSE)</f>
        <v>19160803.96</v>
      </c>
      <c r="H68" s="27">
        <f>VLOOKUP(A68,[1]NPL!$A$5:$H$119,2,FALSE)</f>
        <v>2220455.8</v>
      </c>
      <c r="I68" s="28">
        <f t="shared" ref="I68:I131" si="31">IFERROR(H68/G68,"")</f>
        <v>0.115885314866506</v>
      </c>
      <c r="J68" s="27">
        <f>VLOOKUP(A68,[1]PAR!$A$5:$H$120,2,FALSE)</f>
        <v>4393416.61</v>
      </c>
      <c r="K68" s="28">
        <f t="shared" ref="K68:K131" si="32">IFERROR(J68/G68,"")</f>
        <v>0.22929187205149</v>
      </c>
      <c r="L68" s="27">
        <f>VLOOKUP(A68,[1]ticket_pivot!$A$6:$V$127,5,FALSE)</f>
        <v>9310643.15</v>
      </c>
      <c r="M68" s="27">
        <f>VLOOKUP(A68,[1]ticket_pivot!$A$6:$V$127,6,FALSE)</f>
        <v>5401991.94</v>
      </c>
      <c r="N68" s="28">
        <f t="shared" ref="N68:N131" si="33">IFERROR(M68/L68,"")</f>
        <v>0.580195358469946</v>
      </c>
      <c r="O68" s="27">
        <f>VLOOKUP(A68,[1]ticket_pivot!$A$6:$V$127,7,FALSE)</f>
        <v>5341799.37</v>
      </c>
      <c r="P68" s="28">
        <f t="shared" ref="P68:P131" si="34">IFERROR(O68/M68,"")</f>
        <v>0.988857338058154</v>
      </c>
      <c r="Q68" s="27">
        <f>VLOOKUP(A68,[1]Sheet12!$A$5:$G$125,3,FALSE)</f>
        <v>16663768.01</v>
      </c>
      <c r="R68" s="27">
        <f>VLOOKUP(A68,[1]NPL!$A$5:$H$119,3,FALSE)</f>
        <v>2228773.1</v>
      </c>
      <c r="S68" s="28">
        <f t="shared" ref="S68:S131" si="35">IFERROR(R68/Q68,"")</f>
        <v>0.133749647658471</v>
      </c>
      <c r="T68" s="27">
        <f>VLOOKUP(A68,[1]PAR!$A$5:$H$120,3,FALSE)</f>
        <v>5645322.01</v>
      </c>
    </row>
    <row r="69" spans="1:20">
      <c r="A69" s="24" t="s">
        <v>80</v>
      </c>
      <c r="B69" s="27">
        <f>VLOOKUP(A69,[1]ticket_pivot!$A$6:$V$127,2,FALSE)</f>
        <v>1826470.01</v>
      </c>
      <c r="C69" s="27">
        <f>VLOOKUP(A69,[1]ticket_pivot!$A$6:$V$127,3,FALSE)</f>
        <v>1375981.75</v>
      </c>
      <c r="D69" s="28">
        <f t="shared" si="29"/>
        <v>0.753355786006035</v>
      </c>
      <c r="E69" s="27">
        <f>VLOOKUP(A69,[1]ticket_pivot!$A$6:$V$127,4,FALSE)</f>
        <v>1331318.27</v>
      </c>
      <c r="F69" s="28">
        <f t="shared" si="30"/>
        <v>0.967540645070329</v>
      </c>
      <c r="G69" s="27">
        <f>VLOOKUP(A69,[1]Sheet12!$A$5:$G$125,2,FALSE)</f>
        <v>14781739.42</v>
      </c>
      <c r="H69" s="27">
        <f>VLOOKUP(A69,[1]NPL!$A$5:$H$119,2,FALSE)</f>
        <v>635150.73</v>
      </c>
      <c r="I69" s="28">
        <f t="shared" si="31"/>
        <v>0.0429686055174689</v>
      </c>
      <c r="J69" s="27">
        <f>VLOOKUP(A69,[1]PAR!$A$5:$H$120,2,FALSE)</f>
        <v>941649.35</v>
      </c>
      <c r="K69" s="28">
        <f t="shared" si="32"/>
        <v>0.0637035549906886</v>
      </c>
      <c r="L69" s="27">
        <f>VLOOKUP(A69,[1]ticket_pivot!$A$6:$V$127,5,FALSE)</f>
        <v>8376380.26</v>
      </c>
      <c r="M69" s="27">
        <f>VLOOKUP(A69,[1]ticket_pivot!$A$6:$V$127,6,FALSE)</f>
        <v>7441083.62</v>
      </c>
      <c r="N69" s="28">
        <f t="shared" si="33"/>
        <v>0.888341191425328</v>
      </c>
      <c r="O69" s="27">
        <f>VLOOKUP(A69,[1]ticket_pivot!$A$6:$V$127,7,FALSE)</f>
        <v>6976968.84</v>
      </c>
      <c r="P69" s="28">
        <f t="shared" si="34"/>
        <v>0.93762806552092</v>
      </c>
      <c r="Q69" s="27">
        <f>VLOOKUP(A69,[1]Sheet12!$A$5:$G$125,3,FALSE)</f>
        <v>88028637.15</v>
      </c>
      <c r="R69" s="27">
        <f>VLOOKUP(A69,[1]NPL!$A$5:$H$119,3,FALSE)</f>
        <v>202404.47</v>
      </c>
      <c r="S69" s="28">
        <f t="shared" si="35"/>
        <v>0.00229930255145385</v>
      </c>
      <c r="T69" s="27">
        <f>VLOOKUP(A69,[1]PAR!$A$5:$H$120,3,FALSE)</f>
        <v>2049102.51</v>
      </c>
    </row>
    <row r="70" spans="1:20">
      <c r="A70" s="24" t="s">
        <v>81</v>
      </c>
      <c r="B70" s="27">
        <f>VLOOKUP(A70,[1]ticket_pivot!$A$6:$V$127,2,FALSE)</f>
        <v>2726318.84</v>
      </c>
      <c r="C70" s="27">
        <f>VLOOKUP(A70,[1]ticket_pivot!$A$6:$V$127,3,FALSE)</f>
        <v>1697074.01</v>
      </c>
      <c r="D70" s="28">
        <f t="shared" si="29"/>
        <v>0.622478187474213</v>
      </c>
      <c r="E70" s="27">
        <f>VLOOKUP(A70,[1]ticket_pivot!$A$6:$V$127,4,FALSE)</f>
        <v>1624770.28</v>
      </c>
      <c r="F70" s="28">
        <f t="shared" si="30"/>
        <v>0.957395063754467</v>
      </c>
      <c r="G70" s="27">
        <f>VLOOKUP(A70,[1]Sheet12!$A$5:$G$125,2,FALSE)</f>
        <v>19720816.23</v>
      </c>
      <c r="H70" s="27">
        <f>VLOOKUP(A70,[1]NPL!$A$5:$H$119,2,FALSE)</f>
        <v>473106.7</v>
      </c>
      <c r="I70" s="28">
        <f t="shared" si="31"/>
        <v>0.0239902189890241</v>
      </c>
      <c r="J70" s="27">
        <f>VLOOKUP(A70,[1]PAR!$A$5:$H$120,2,FALSE)</f>
        <v>1172045.62</v>
      </c>
      <c r="K70" s="28">
        <f t="shared" si="32"/>
        <v>0.0594319021246719</v>
      </c>
      <c r="L70" s="27">
        <f>VLOOKUP(A70,[1]ticket_pivot!$A$6:$V$127,5,FALSE)</f>
        <v>9096342.8</v>
      </c>
      <c r="M70" s="27">
        <f>VLOOKUP(A70,[1]ticket_pivot!$A$6:$V$127,6,FALSE)</f>
        <v>6886389.5</v>
      </c>
      <c r="N70" s="28">
        <f t="shared" si="33"/>
        <v>0.757050349949432</v>
      </c>
      <c r="O70" s="27">
        <f>VLOOKUP(A70,[1]ticket_pivot!$A$6:$V$127,7,FALSE)</f>
        <v>6667258.83</v>
      </c>
      <c r="P70" s="28">
        <f t="shared" si="34"/>
        <v>0.968179164132381</v>
      </c>
      <c r="Q70" s="27">
        <f>VLOOKUP(A70,[1]Sheet12!$A$5:$G$125,3,FALSE)</f>
        <v>39520529.03</v>
      </c>
      <c r="R70" s="27">
        <f>VLOOKUP(A70,[1]NPL!$A$5:$H$119,3,FALSE)</f>
        <v>1947525.24</v>
      </c>
      <c r="S70" s="28">
        <f t="shared" si="35"/>
        <v>0.0492788251524071</v>
      </c>
      <c r="T70" s="27">
        <f>VLOOKUP(A70,[1]PAR!$A$5:$H$120,3,FALSE)</f>
        <v>3879746.52</v>
      </c>
    </row>
    <row r="71" spans="1:20">
      <c r="A71" s="24" t="s">
        <v>82</v>
      </c>
      <c r="B71" s="27">
        <f>VLOOKUP(A71,[1]ticket_pivot!$A$6:$V$127,2,FALSE)</f>
        <v>3862400.35</v>
      </c>
      <c r="C71" s="27">
        <f>VLOOKUP(A71,[1]ticket_pivot!$A$6:$V$127,3,FALSE)</f>
        <v>685428.21</v>
      </c>
      <c r="D71" s="28">
        <f t="shared" si="29"/>
        <v>0.177461720145091</v>
      </c>
      <c r="E71" s="27">
        <f>VLOOKUP(A71,[1]ticket_pivot!$A$6:$V$127,4,FALSE)</f>
        <v>684637.21</v>
      </c>
      <c r="F71" s="28">
        <f t="shared" si="30"/>
        <v>0.998845976882101</v>
      </c>
      <c r="G71" s="27">
        <f>VLOOKUP(A71,[1]Sheet12!$A$5:$G$125,2,FALSE)</f>
        <v>10882700.17</v>
      </c>
      <c r="H71" s="27">
        <f>VLOOKUP(A71,[1]NPL!$A$5:$H$119,2,FALSE)</f>
        <v>3339052.98</v>
      </c>
      <c r="I71" s="28">
        <f t="shared" si="31"/>
        <v>0.306822105528981</v>
      </c>
      <c r="J71" s="27">
        <f>VLOOKUP(A71,[1]PAR!$A$5:$H$120,2,FALSE)</f>
        <v>3522649.7</v>
      </c>
      <c r="K71" s="28">
        <f t="shared" si="32"/>
        <v>0.323692617178849</v>
      </c>
      <c r="L71" s="27">
        <f>VLOOKUP(A71,[1]ticket_pivot!$A$6:$V$127,5,FALSE)</f>
        <v>9376415.36</v>
      </c>
      <c r="M71" s="27">
        <f>VLOOKUP(A71,[1]ticket_pivot!$A$6:$V$127,6,FALSE)</f>
        <v>4681442.66</v>
      </c>
      <c r="N71" s="28">
        <f t="shared" si="33"/>
        <v>0.499278506791747</v>
      </c>
      <c r="O71" s="27">
        <f>VLOOKUP(A71,[1]ticket_pivot!$A$6:$V$127,7,FALSE)</f>
        <v>4451955.63</v>
      </c>
      <c r="P71" s="28">
        <f t="shared" si="34"/>
        <v>0.950979420946277</v>
      </c>
      <c r="Q71" s="27">
        <f>VLOOKUP(A71,[1]Sheet12!$A$5:$G$125,3,FALSE)</f>
        <v>43390848.09</v>
      </c>
      <c r="R71" s="27">
        <f>VLOOKUP(A71,[1]NPL!$A$5:$H$119,3,FALSE)</f>
        <v>5742304.82</v>
      </c>
      <c r="S71" s="28">
        <f t="shared" si="35"/>
        <v>0.132339077772564</v>
      </c>
      <c r="T71" s="27">
        <f>VLOOKUP(A71,[1]PAR!$A$5:$H$120,3,FALSE)</f>
        <v>6778227.9</v>
      </c>
    </row>
    <row r="72" spans="1:20">
      <c r="A72" s="29" t="s">
        <v>83</v>
      </c>
      <c r="B72" s="30">
        <f>SUM(B68:B71)</f>
        <v>12370023.84</v>
      </c>
      <c r="C72" s="30">
        <f t="shared" ref="C72:T72" si="36">SUM(C68:C71)</f>
        <v>4944276</v>
      </c>
      <c r="D72" s="31">
        <f t="shared" si="29"/>
        <v>0.399698178754682</v>
      </c>
      <c r="E72" s="30">
        <f t="shared" si="36"/>
        <v>4814928.82</v>
      </c>
      <c r="F72" s="31">
        <f t="shared" si="30"/>
        <v>0.973839004942281</v>
      </c>
      <c r="G72" s="30">
        <f t="shared" si="36"/>
        <v>64546059.78</v>
      </c>
      <c r="H72" s="30">
        <f t="shared" si="36"/>
        <v>6667766.21</v>
      </c>
      <c r="I72" s="31">
        <f t="shared" si="31"/>
        <v>0.103302451500937</v>
      </c>
      <c r="J72" s="30">
        <f t="shared" si="36"/>
        <v>10029761.28</v>
      </c>
      <c r="K72" s="31">
        <f t="shared" si="32"/>
        <v>0.155389210653379</v>
      </c>
      <c r="L72" s="30">
        <f t="shared" si="36"/>
        <v>36159781.57</v>
      </c>
      <c r="M72" s="30">
        <f t="shared" si="36"/>
        <v>24410907.72</v>
      </c>
      <c r="N72" s="31">
        <f t="shared" si="33"/>
        <v>0.67508449056154</v>
      </c>
      <c r="O72" s="30">
        <f t="shared" si="36"/>
        <v>23437982.67</v>
      </c>
      <c r="P72" s="31">
        <f t="shared" si="34"/>
        <v>0.96014383974739</v>
      </c>
      <c r="Q72" s="30">
        <f t="shared" si="36"/>
        <v>187603782.28</v>
      </c>
      <c r="R72" s="30">
        <f t="shared" si="36"/>
        <v>10121007.63</v>
      </c>
      <c r="S72" s="31">
        <f t="shared" si="35"/>
        <v>0.0539488463771712</v>
      </c>
      <c r="T72" s="30">
        <f t="shared" si="36"/>
        <v>18352398.94</v>
      </c>
    </row>
    <row r="73" spans="1:20">
      <c r="A73" s="24" t="s">
        <v>84</v>
      </c>
      <c r="B73" s="27">
        <f>VLOOKUP(A73,[1]ticket_pivot!$A$6:$V$127,2,FALSE)</f>
        <v>2635416.74</v>
      </c>
      <c r="C73" s="27">
        <f>VLOOKUP(A73,[1]ticket_pivot!$A$6:$V$127,3,FALSE)</f>
        <v>2121363.72</v>
      </c>
      <c r="D73" s="28">
        <f t="shared" si="29"/>
        <v>0.804944314044237</v>
      </c>
      <c r="E73" s="27">
        <f>VLOOKUP(A73,[1]ticket_pivot!$A$6:$V$127,4,FALSE)</f>
        <v>2120063.79</v>
      </c>
      <c r="F73" s="28">
        <f t="shared" si="30"/>
        <v>0.999387219651329</v>
      </c>
      <c r="G73" s="27">
        <f>VLOOKUP(A73,[1]Sheet12!$A$5:$G$125,2,FALSE)</f>
        <v>22227874.76</v>
      </c>
      <c r="H73" s="27">
        <f>VLOOKUP(A73,[1]NPL!$A$5:$H$119,2,FALSE)</f>
        <v>332835.03</v>
      </c>
      <c r="I73" s="28">
        <f t="shared" si="31"/>
        <v>0.0149737675595937</v>
      </c>
      <c r="J73" s="27">
        <f>VLOOKUP(A73,[1]PAR!$A$5:$H$120,2,FALSE)</f>
        <v>332835.03</v>
      </c>
      <c r="K73" s="28">
        <f t="shared" si="32"/>
        <v>0.0149737675595937</v>
      </c>
      <c r="L73" s="27">
        <f>VLOOKUP(A73,[1]ticket_pivot!$A$6:$V$127,5,FALSE)</f>
        <v>10423355.43</v>
      </c>
      <c r="M73" s="27">
        <f>VLOOKUP(A73,[1]ticket_pivot!$A$6:$V$127,6,FALSE)</f>
        <v>9432943.05</v>
      </c>
      <c r="N73" s="28">
        <f t="shared" si="33"/>
        <v>0.904981424969023</v>
      </c>
      <c r="O73" s="27">
        <f>VLOOKUP(A73,[1]ticket_pivot!$A$6:$V$127,7,FALSE)</f>
        <v>9098584.48</v>
      </c>
      <c r="P73" s="28">
        <f t="shared" si="34"/>
        <v>0.964554162128648</v>
      </c>
      <c r="Q73" s="27">
        <f>VLOOKUP(A73,[1]Sheet12!$A$5:$G$125,3,FALSE)</f>
        <v>28980539.45</v>
      </c>
      <c r="R73" s="27">
        <f>VLOOKUP(A73,[1]NPL!$A$5:$H$119,3,FALSE)</f>
        <v>1152489.71</v>
      </c>
      <c r="S73" s="28">
        <f t="shared" si="35"/>
        <v>0.0397677107421822</v>
      </c>
      <c r="T73" s="27">
        <f>VLOOKUP(A73,[1]PAR!$A$5:$H$120,3,FALSE)</f>
        <v>1453689.17</v>
      </c>
    </row>
    <row r="74" spans="1:20">
      <c r="A74" s="24" t="s">
        <v>85</v>
      </c>
      <c r="B74" s="27">
        <f>VLOOKUP(A74,[1]ticket_pivot!$A$6:$V$127,2,FALSE)</f>
        <v>1990089.84</v>
      </c>
      <c r="C74" s="27">
        <f>VLOOKUP(A74,[1]ticket_pivot!$A$6:$V$127,3,FALSE)</f>
        <v>1166043.1</v>
      </c>
      <c r="D74" s="28">
        <f t="shared" si="29"/>
        <v>0.585924854528175</v>
      </c>
      <c r="E74" s="27">
        <f>VLOOKUP(A74,[1]ticket_pivot!$A$6:$V$127,4,FALSE)</f>
        <v>1119056.71</v>
      </c>
      <c r="F74" s="28">
        <f t="shared" si="30"/>
        <v>0.959704414013513</v>
      </c>
      <c r="G74" s="27">
        <f>VLOOKUP(A74,[1]Sheet12!$A$5:$G$125,2,FALSE)</f>
        <v>14990510.68</v>
      </c>
      <c r="H74" s="27">
        <f>VLOOKUP(A74,[1]NPL!$A$5:$H$119,2,FALSE)</f>
        <v>1051278.65</v>
      </c>
      <c r="I74" s="28">
        <f t="shared" si="31"/>
        <v>0.0701296088199712</v>
      </c>
      <c r="J74" s="27">
        <f>VLOOKUP(A74,[1]PAR!$A$5:$H$120,2,FALSE)</f>
        <v>2031663.1</v>
      </c>
      <c r="K74" s="28">
        <f t="shared" si="32"/>
        <v>0.135529945801686</v>
      </c>
      <c r="L74" s="27">
        <f>VLOOKUP(A74,[1]ticket_pivot!$A$6:$V$127,5,FALSE)</f>
        <v>17911837.74</v>
      </c>
      <c r="M74" s="27">
        <f>VLOOKUP(A74,[1]ticket_pivot!$A$6:$V$127,6,FALSE)</f>
        <v>12711093.87</v>
      </c>
      <c r="N74" s="28">
        <f t="shared" si="33"/>
        <v>0.709647667342034</v>
      </c>
      <c r="O74" s="27">
        <f>VLOOKUP(A74,[1]ticket_pivot!$A$6:$V$127,7,FALSE)</f>
        <v>12302385.74</v>
      </c>
      <c r="P74" s="28">
        <f t="shared" si="34"/>
        <v>0.967846344761514</v>
      </c>
      <c r="Q74" s="27">
        <f>VLOOKUP(A74,[1]Sheet12!$A$5:$G$125,3,FALSE)</f>
        <v>68349228.57</v>
      </c>
      <c r="R74" s="27">
        <f>VLOOKUP(A74,[1]NPL!$A$5:$H$119,3,FALSE)</f>
        <v>5785101.44</v>
      </c>
      <c r="S74" s="28">
        <f t="shared" si="35"/>
        <v>0.0846403326129011</v>
      </c>
      <c r="T74" s="27">
        <f>VLOOKUP(A74,[1]PAR!$A$5:$H$120,3,FALSE)</f>
        <v>7465646.05</v>
      </c>
    </row>
    <row r="75" spans="1:20">
      <c r="A75" s="29" t="s">
        <v>86</v>
      </c>
      <c r="B75" s="30">
        <f>SUM(B73:B74)</f>
        <v>4625506.58</v>
      </c>
      <c r="C75" s="30">
        <f t="shared" ref="C75:T75" si="37">SUM(C73:C74)</f>
        <v>3287406.82</v>
      </c>
      <c r="D75" s="31">
        <f t="shared" si="29"/>
        <v>0.710712818832483</v>
      </c>
      <c r="E75" s="30">
        <f t="shared" si="37"/>
        <v>3239120.5</v>
      </c>
      <c r="F75" s="31">
        <f t="shared" si="30"/>
        <v>0.985311729687292</v>
      </c>
      <c r="G75" s="30">
        <f t="shared" si="37"/>
        <v>37218385.44</v>
      </c>
      <c r="H75" s="30">
        <f t="shared" si="37"/>
        <v>1384113.68</v>
      </c>
      <c r="I75" s="31">
        <f t="shared" si="31"/>
        <v>0.0371889769971709</v>
      </c>
      <c r="J75" s="30">
        <f t="shared" si="37"/>
        <v>2364498.13</v>
      </c>
      <c r="K75" s="31">
        <f t="shared" si="32"/>
        <v>0.06353037892554</v>
      </c>
      <c r="L75" s="30">
        <f t="shared" si="37"/>
        <v>28335193.17</v>
      </c>
      <c r="M75" s="30">
        <f t="shared" si="37"/>
        <v>22144036.92</v>
      </c>
      <c r="N75" s="31">
        <f t="shared" si="33"/>
        <v>0.781502945370603</v>
      </c>
      <c r="O75" s="30">
        <f t="shared" si="37"/>
        <v>21400970.22</v>
      </c>
      <c r="P75" s="31">
        <f t="shared" si="34"/>
        <v>0.966443936907959</v>
      </c>
      <c r="Q75" s="30">
        <f t="shared" si="37"/>
        <v>97329768.02</v>
      </c>
      <c r="R75" s="30">
        <f t="shared" si="37"/>
        <v>6937591.15</v>
      </c>
      <c r="S75" s="31">
        <f t="shared" si="35"/>
        <v>0.0712792323575087</v>
      </c>
      <c r="T75" s="30">
        <f t="shared" si="37"/>
        <v>8919335.22</v>
      </c>
    </row>
    <row r="76" spans="1:20">
      <c r="A76" s="32" t="s">
        <v>87</v>
      </c>
      <c r="B76" s="33">
        <f>SUM(B75,B72)</f>
        <v>16995530.42</v>
      </c>
      <c r="C76" s="33">
        <f t="shared" ref="C76:T76" si="38">SUM(C75,C72)</f>
        <v>8231682.82</v>
      </c>
      <c r="D76" s="34">
        <f t="shared" si="29"/>
        <v>0.484343978479961</v>
      </c>
      <c r="E76" s="33">
        <f t="shared" si="38"/>
        <v>8054049.32</v>
      </c>
      <c r="F76" s="34">
        <f t="shared" si="30"/>
        <v>0.978420755040705</v>
      </c>
      <c r="G76" s="33">
        <f t="shared" si="38"/>
        <v>101764445.22</v>
      </c>
      <c r="H76" s="33">
        <f t="shared" si="38"/>
        <v>8051879.89</v>
      </c>
      <c r="I76" s="34">
        <f t="shared" si="31"/>
        <v>0.0791227218169666</v>
      </c>
      <c r="J76" s="33">
        <f t="shared" si="38"/>
        <v>12394259.41</v>
      </c>
      <c r="K76" s="34">
        <f t="shared" si="32"/>
        <v>0.121793612525528</v>
      </c>
      <c r="L76" s="33">
        <f t="shared" si="38"/>
        <v>64494974.74</v>
      </c>
      <c r="M76" s="33">
        <f t="shared" si="38"/>
        <v>46554944.64</v>
      </c>
      <c r="N76" s="34">
        <f t="shared" si="33"/>
        <v>0.721838326593319</v>
      </c>
      <c r="O76" s="33">
        <f t="shared" si="38"/>
        <v>44838952.89</v>
      </c>
      <c r="P76" s="34">
        <f t="shared" si="34"/>
        <v>0.963140504982459</v>
      </c>
      <c r="Q76" s="33">
        <f t="shared" si="38"/>
        <v>284933550.3</v>
      </c>
      <c r="R76" s="33">
        <f t="shared" si="38"/>
        <v>17058598.78</v>
      </c>
      <c r="S76" s="34">
        <f t="shared" si="35"/>
        <v>0.0598686913564211</v>
      </c>
      <c r="T76" s="33">
        <f t="shared" si="38"/>
        <v>27271734.16</v>
      </c>
    </row>
    <row r="77" spans="1:20">
      <c r="A77" s="35" t="s">
        <v>88</v>
      </c>
      <c r="B77" s="36">
        <f>SUM(B76,B67,B62)</f>
        <v>24074295.9</v>
      </c>
      <c r="C77" s="36">
        <f t="shared" ref="C77:T77" si="39">SUM(C76,C67,C62)</f>
        <v>10882863.57</v>
      </c>
      <c r="D77" s="37">
        <f t="shared" si="29"/>
        <v>0.452053244473081</v>
      </c>
      <c r="E77" s="36">
        <f t="shared" si="39"/>
        <v>10682319.06</v>
      </c>
      <c r="F77" s="37">
        <f t="shared" si="30"/>
        <v>0.98157245023701</v>
      </c>
      <c r="G77" s="36">
        <f t="shared" si="39"/>
        <v>149069678.21</v>
      </c>
      <c r="H77" s="36">
        <f t="shared" si="39"/>
        <v>11740258.16</v>
      </c>
      <c r="I77" s="37">
        <f t="shared" si="31"/>
        <v>0.0787568491525222</v>
      </c>
      <c r="J77" s="36">
        <f t="shared" si="39"/>
        <v>19972874.64</v>
      </c>
      <c r="K77" s="37">
        <f t="shared" si="32"/>
        <v>0.133983482622559</v>
      </c>
      <c r="L77" s="36">
        <f t="shared" si="39"/>
        <v>166027055.6</v>
      </c>
      <c r="M77" s="36">
        <f t="shared" si="39"/>
        <v>117401461.53</v>
      </c>
      <c r="N77" s="37">
        <f t="shared" si="33"/>
        <v>0.707122469321199</v>
      </c>
      <c r="O77" s="36">
        <f t="shared" si="39"/>
        <v>113016660.25</v>
      </c>
      <c r="P77" s="37">
        <f t="shared" si="34"/>
        <v>0.962651220667474</v>
      </c>
      <c r="Q77" s="36">
        <f t="shared" si="39"/>
        <v>753056883.83</v>
      </c>
      <c r="R77" s="36">
        <f t="shared" si="39"/>
        <v>45872912.4</v>
      </c>
      <c r="S77" s="37">
        <f t="shared" si="35"/>
        <v>0.0609156006471825</v>
      </c>
      <c r="T77" s="36">
        <f t="shared" si="39"/>
        <v>83070060.99</v>
      </c>
    </row>
    <row r="78" spans="1:20">
      <c r="A78" s="24" t="s">
        <v>89</v>
      </c>
      <c r="B78" s="27">
        <f>VLOOKUP(A78,[1]ticket_pivot!$A$6:$V$127,2,FALSE)</f>
        <v>729323.6</v>
      </c>
      <c r="C78" s="27">
        <f>VLOOKUP(A78,[1]ticket_pivot!$A$6:$V$127,3,FALSE)</f>
        <v>439069.31</v>
      </c>
      <c r="D78" s="28">
        <f t="shared" si="29"/>
        <v>0.602022627541464</v>
      </c>
      <c r="E78" s="27">
        <f>VLOOKUP(A78,[1]ticket_pivot!$A$6:$V$127,4,FALSE)</f>
        <v>415946.08</v>
      </c>
      <c r="F78" s="28">
        <f t="shared" si="30"/>
        <v>0.947335809009288</v>
      </c>
      <c r="G78" s="27">
        <f>VLOOKUP(A78,[1]Sheet12!$A$5:$G$125,2,FALSE)</f>
        <v>3347535.29</v>
      </c>
      <c r="H78" s="27">
        <f>VLOOKUP(A78,[1]NPL!$A$5:$H$119,2,FALSE)</f>
        <v>708510.67</v>
      </c>
      <c r="I78" s="28">
        <f t="shared" si="31"/>
        <v>0.211651441619306</v>
      </c>
      <c r="J78" s="27">
        <f>VLOOKUP(A78,[1]PAR!$A$5:$H$120,2,FALSE)</f>
        <v>836851.59</v>
      </c>
      <c r="K78" s="28">
        <f t="shared" si="32"/>
        <v>0.249990371274025</v>
      </c>
      <c r="L78" s="27">
        <f>VLOOKUP(A78,[1]ticket_pivot!$A$6:$V$127,5,FALSE)</f>
        <v>6999849.45</v>
      </c>
      <c r="M78" s="27">
        <f>VLOOKUP(A78,[1]ticket_pivot!$A$6:$V$127,6,FALSE)</f>
        <v>5504757.44</v>
      </c>
      <c r="N78" s="28">
        <f t="shared" si="33"/>
        <v>0.786410833450139</v>
      </c>
      <c r="O78" s="27">
        <f>VLOOKUP(A78,[1]ticket_pivot!$A$6:$V$127,7,FALSE)</f>
        <v>5371162.89</v>
      </c>
      <c r="P78" s="28">
        <f t="shared" si="34"/>
        <v>0.975731074174269</v>
      </c>
      <c r="Q78" s="27">
        <f>VLOOKUP(A78,[1]Sheet12!$A$5:$G$125,3,FALSE)</f>
        <v>83207772.93</v>
      </c>
      <c r="R78" s="27">
        <f>VLOOKUP(A78,[1]NPL!$A$5:$H$119,3,FALSE)</f>
        <v>867981.76</v>
      </c>
      <c r="S78" s="28">
        <f t="shared" si="35"/>
        <v>0.0104314985179354</v>
      </c>
      <c r="T78" s="27">
        <f>VLOOKUP(A78,[1]PAR!$A$5:$H$120,3,FALSE)</f>
        <v>1701041.72</v>
      </c>
    </row>
    <row r="79" spans="1:20">
      <c r="A79" s="24" t="s">
        <v>90</v>
      </c>
      <c r="B79" s="27">
        <f>VLOOKUP(A79,[1]ticket_pivot!$A$6:$V$127,2,FALSE)</f>
        <v>689073.78</v>
      </c>
      <c r="C79" s="27">
        <f>VLOOKUP(A79,[1]ticket_pivot!$A$6:$V$127,3,FALSE)</f>
        <v>443859.67</v>
      </c>
      <c r="D79" s="28">
        <f t="shared" si="29"/>
        <v>0.644139543373715</v>
      </c>
      <c r="E79" s="27">
        <f>VLOOKUP(A79,[1]ticket_pivot!$A$6:$V$127,4,FALSE)</f>
        <v>443538.94</v>
      </c>
      <c r="F79" s="28">
        <f t="shared" si="30"/>
        <v>0.999277406753355</v>
      </c>
      <c r="G79" s="27">
        <f>VLOOKUP(A79,[1]Sheet12!$A$5:$G$125,2,FALSE)</f>
        <v>5159248.5</v>
      </c>
      <c r="H79" s="27">
        <f>VLOOKUP(A79,[1]NPL!$A$5:$H$119,2,FALSE)</f>
        <v>0</v>
      </c>
      <c r="I79" s="28">
        <f t="shared" si="31"/>
        <v>0</v>
      </c>
      <c r="J79" s="27">
        <f>VLOOKUP(A79,[1]PAR!$A$5:$H$120,2,FALSE)</f>
        <v>588759.32</v>
      </c>
      <c r="K79" s="28">
        <f t="shared" si="32"/>
        <v>0.114117263396016</v>
      </c>
      <c r="L79" s="27">
        <f>VLOOKUP(A79,[1]ticket_pivot!$A$6:$V$127,5,FALSE)</f>
        <v>7266751.22</v>
      </c>
      <c r="M79" s="27">
        <f>VLOOKUP(A79,[1]ticket_pivot!$A$6:$V$127,6,FALSE)</f>
        <v>4774273.3</v>
      </c>
      <c r="N79" s="28">
        <f t="shared" si="33"/>
        <v>0.657002442420205</v>
      </c>
      <c r="O79" s="27">
        <f>VLOOKUP(A79,[1]ticket_pivot!$A$6:$V$127,7,FALSE)</f>
        <v>4768915.99</v>
      </c>
      <c r="P79" s="28">
        <f t="shared" si="34"/>
        <v>0.998877879487963</v>
      </c>
      <c r="Q79" s="27">
        <f>VLOOKUP(A79,[1]Sheet12!$A$5:$G$125,3,FALSE)</f>
        <v>71541790.64</v>
      </c>
      <c r="R79" s="27">
        <f>VLOOKUP(A79,[1]NPL!$A$5:$H$119,3,FALSE)</f>
        <v>2281102.21</v>
      </c>
      <c r="S79" s="28">
        <f t="shared" si="35"/>
        <v>0.0318848911886838</v>
      </c>
      <c r="T79" s="27">
        <f>VLOOKUP(A79,[1]PAR!$A$5:$H$120,3,FALSE)</f>
        <v>3475308.59</v>
      </c>
    </row>
    <row r="80" spans="1:20">
      <c r="A80" s="24" t="s">
        <v>91</v>
      </c>
      <c r="B80" s="27">
        <f>VLOOKUP(A80,[1]ticket_pivot!$A$6:$V$127,2,FALSE)</f>
        <v>806225.51</v>
      </c>
      <c r="C80" s="27">
        <f>VLOOKUP(A80,[1]ticket_pivot!$A$6:$V$127,3,FALSE)</f>
        <v>276244.16</v>
      </c>
      <c r="D80" s="28">
        <f t="shared" si="29"/>
        <v>0.342638823224534</v>
      </c>
      <c r="E80" s="27">
        <f>VLOOKUP(A80,[1]ticket_pivot!$A$6:$V$127,4,FALSE)</f>
        <v>274914.9</v>
      </c>
      <c r="F80" s="28">
        <f t="shared" si="30"/>
        <v>0.995188097370095</v>
      </c>
      <c r="G80" s="27">
        <f>VLOOKUP(A80,[1]Sheet12!$A$5:$G$125,2,FALSE)</f>
        <v>2660244.62</v>
      </c>
      <c r="H80" s="27">
        <f>VLOOKUP(A80,[1]NPL!$A$5:$H$119,2,FALSE)</f>
        <v>0</v>
      </c>
      <c r="I80" s="28">
        <f t="shared" si="31"/>
        <v>0</v>
      </c>
      <c r="J80" s="27">
        <f>VLOOKUP(A80,[1]PAR!$A$5:$H$120,2,FALSE)</f>
        <v>0</v>
      </c>
      <c r="K80" s="28">
        <f t="shared" si="32"/>
        <v>0</v>
      </c>
      <c r="L80" s="27">
        <f>VLOOKUP(A80,[1]ticket_pivot!$A$6:$V$127,5,FALSE)</f>
        <v>32171365.83</v>
      </c>
      <c r="M80" s="27">
        <f>VLOOKUP(A80,[1]ticket_pivot!$A$6:$V$127,6,FALSE)</f>
        <v>18480328.56</v>
      </c>
      <c r="N80" s="28">
        <f t="shared" si="33"/>
        <v>0.574434068408963</v>
      </c>
      <c r="O80" s="27">
        <f>VLOOKUP(A80,[1]ticket_pivot!$A$6:$V$127,7,FALSE)</f>
        <v>17099090.68</v>
      </c>
      <c r="P80" s="28">
        <f t="shared" si="34"/>
        <v>0.925259019312587</v>
      </c>
      <c r="Q80" s="27">
        <f>VLOOKUP(A80,[1]Sheet12!$A$5:$G$125,3,FALSE)</f>
        <v>107478378.9</v>
      </c>
      <c r="R80" s="27">
        <f>VLOOKUP(A80,[1]NPL!$A$5:$H$119,3,FALSE)</f>
        <v>3141425.64</v>
      </c>
      <c r="S80" s="28">
        <f t="shared" si="35"/>
        <v>0.0292284427077454</v>
      </c>
      <c r="T80" s="27">
        <f>VLOOKUP(A80,[1]PAR!$A$5:$H$120,3,FALSE)</f>
        <v>3487515.3</v>
      </c>
    </row>
    <row r="81" spans="1:20">
      <c r="A81" s="24" t="s">
        <v>92</v>
      </c>
      <c r="B81" s="27">
        <f>VLOOKUP(A81,[1]ticket_pivot!$A$6:$V$127,2,FALSE)</f>
        <v>1081338.41</v>
      </c>
      <c r="C81" s="27">
        <f>VLOOKUP(A81,[1]ticket_pivot!$A$6:$V$127,3,FALSE)</f>
        <v>156236.72</v>
      </c>
      <c r="D81" s="28">
        <f t="shared" si="29"/>
        <v>0.144484574445108</v>
      </c>
      <c r="E81" s="27">
        <f>VLOOKUP(A81,[1]ticket_pivot!$A$6:$V$127,4,FALSE)</f>
        <v>147803.05</v>
      </c>
      <c r="F81" s="28">
        <f t="shared" si="30"/>
        <v>0.946019924125391</v>
      </c>
      <c r="G81" s="27">
        <f>VLOOKUP(A81,[1]Sheet12!$A$5:$G$125,2,FALSE)</f>
        <v>2848721.57</v>
      </c>
      <c r="H81" s="27">
        <f>VLOOKUP(A81,[1]NPL!$A$5:$H$119,2,FALSE)</f>
        <v>726145.73</v>
      </c>
      <c r="I81" s="28">
        <f t="shared" si="31"/>
        <v>0.254902317463058</v>
      </c>
      <c r="J81" s="27">
        <f>VLOOKUP(A81,[1]PAR!$A$5:$H$120,2,FALSE)</f>
        <v>1359317.76</v>
      </c>
      <c r="K81" s="28">
        <f t="shared" si="32"/>
        <v>0.477167644010924</v>
      </c>
      <c r="L81" s="27">
        <f>VLOOKUP(A81,[1]ticket_pivot!$A$6:$V$127,5,FALSE)</f>
        <v>19172343.87</v>
      </c>
      <c r="M81" s="27">
        <f>VLOOKUP(A81,[1]ticket_pivot!$A$6:$V$127,6,FALSE)</f>
        <v>14477779.11</v>
      </c>
      <c r="N81" s="28">
        <f t="shared" si="33"/>
        <v>0.755138714815884</v>
      </c>
      <c r="O81" s="27">
        <f>VLOOKUP(A81,[1]ticket_pivot!$A$6:$V$127,7,FALSE)</f>
        <v>12768089.37</v>
      </c>
      <c r="P81" s="28">
        <f t="shared" si="34"/>
        <v>0.881909391833511</v>
      </c>
      <c r="Q81" s="27">
        <f>VLOOKUP(A81,[1]Sheet12!$A$5:$G$125,3,FALSE)</f>
        <v>141782397.67</v>
      </c>
      <c r="R81" s="27">
        <f>VLOOKUP(A81,[1]NPL!$A$5:$H$119,3,FALSE)</f>
        <v>1626642.52</v>
      </c>
      <c r="S81" s="28">
        <f t="shared" si="35"/>
        <v>0.0114728100718541</v>
      </c>
      <c r="T81" s="27">
        <f>VLOOKUP(A81,[1]PAR!$A$5:$H$120,3,FALSE)</f>
        <v>7683295.22</v>
      </c>
    </row>
    <row r="82" spans="1:20">
      <c r="A82" s="29" t="s">
        <v>93</v>
      </c>
      <c r="B82" s="30">
        <f>SUM(B78:B81)</f>
        <v>3305961.3</v>
      </c>
      <c r="C82" s="30">
        <f t="shared" ref="C82:T82" si="40">SUM(C78:C81)</f>
        <v>1315409.86</v>
      </c>
      <c r="D82" s="31">
        <f t="shared" si="29"/>
        <v>0.397890277783954</v>
      </c>
      <c r="E82" s="30">
        <f t="shared" si="40"/>
        <v>1282202.97</v>
      </c>
      <c r="F82" s="31">
        <f t="shared" si="30"/>
        <v>0.974755480394529</v>
      </c>
      <c r="G82" s="30">
        <f>SUM(G78:G81)</f>
        <v>14015749.98</v>
      </c>
      <c r="H82" s="30">
        <f t="shared" si="40"/>
        <v>1434656.4</v>
      </c>
      <c r="I82" s="31">
        <f t="shared" si="31"/>
        <v>0.102360301949393</v>
      </c>
      <c r="J82" s="30">
        <f t="shared" si="40"/>
        <v>2784928.67</v>
      </c>
      <c r="K82" s="31">
        <f t="shared" si="32"/>
        <v>0.198699939280738</v>
      </c>
      <c r="L82" s="30">
        <f t="shared" si="40"/>
        <v>65610310.37</v>
      </c>
      <c r="M82" s="30">
        <f t="shared" si="40"/>
        <v>43237138.41</v>
      </c>
      <c r="N82" s="31">
        <f t="shared" si="33"/>
        <v>0.658999144588256</v>
      </c>
      <c r="O82" s="30">
        <f t="shared" si="40"/>
        <v>40007258.93</v>
      </c>
      <c r="P82" s="31">
        <f t="shared" si="34"/>
        <v>0.925298491094106</v>
      </c>
      <c r="Q82" s="30">
        <f t="shared" si="40"/>
        <v>404010340.14</v>
      </c>
      <c r="R82" s="30">
        <f t="shared" si="40"/>
        <v>7917152.13</v>
      </c>
      <c r="S82" s="31">
        <f t="shared" si="35"/>
        <v>0.0195964096544076</v>
      </c>
      <c r="T82" s="30">
        <f t="shared" si="40"/>
        <v>16347160.83</v>
      </c>
    </row>
    <row r="83" spans="1:20">
      <c r="A83" s="24" t="s">
        <v>94</v>
      </c>
      <c r="B83" s="27">
        <f>VLOOKUP(A83,[1]ticket_pivot!$A$6:$V$127,2,FALSE)</f>
        <v>186519.52</v>
      </c>
      <c r="C83" s="27">
        <f>VLOOKUP(A83,[1]ticket_pivot!$A$6:$V$127,3,FALSE)</f>
        <v>144852.86</v>
      </c>
      <c r="D83" s="28">
        <f t="shared" si="29"/>
        <v>0.776609654581998</v>
      </c>
      <c r="E83" s="27">
        <f>VLOOKUP(A83,[1]ticket_pivot!$A$6:$V$127,4,FALSE)</f>
        <v>144852.86</v>
      </c>
      <c r="F83" s="28">
        <f t="shared" si="30"/>
        <v>1</v>
      </c>
      <c r="G83" s="27">
        <f>VLOOKUP(A83,[1]Sheet12!$A$5:$G$125,2,FALSE)</f>
        <v>1527135.38</v>
      </c>
      <c r="H83" s="27">
        <f>VLOOKUP(A83,[1]NPL!$A$5:$H$119,2,FALSE)</f>
        <v>0</v>
      </c>
      <c r="I83" s="28">
        <f t="shared" si="31"/>
        <v>0</v>
      </c>
      <c r="J83" s="27">
        <f>VLOOKUP(A83,[1]PAR!$A$5:$H$120,2,FALSE)</f>
        <v>0</v>
      </c>
      <c r="K83" s="28">
        <f t="shared" si="32"/>
        <v>0</v>
      </c>
      <c r="L83" s="27">
        <f>VLOOKUP(A83,[1]ticket_pivot!$A$6:$V$127,5,FALSE)</f>
        <v>7646300.52</v>
      </c>
      <c r="M83" s="27">
        <f>VLOOKUP(A83,[1]ticket_pivot!$A$6:$V$127,6,FALSE)</f>
        <v>3866697.14</v>
      </c>
      <c r="N83" s="28">
        <f t="shared" si="33"/>
        <v>0.505695156747514</v>
      </c>
      <c r="O83" s="27">
        <f>VLOOKUP(A83,[1]ticket_pivot!$A$6:$V$127,7,FALSE)</f>
        <v>3768954.78</v>
      </c>
      <c r="P83" s="28">
        <f t="shared" si="34"/>
        <v>0.974722002665044</v>
      </c>
      <c r="Q83" s="27">
        <f>VLOOKUP(A83,[1]Sheet12!$A$5:$G$125,3,FALSE)</f>
        <v>80715960.68</v>
      </c>
      <c r="R83" s="27">
        <f>VLOOKUP(A83,[1]NPL!$A$5:$H$119,3,FALSE)</f>
        <v>576065.07</v>
      </c>
      <c r="S83" s="28">
        <f t="shared" si="35"/>
        <v>0.00713694125854267</v>
      </c>
      <c r="T83" s="27">
        <f>VLOOKUP(A83,[1]PAR!$A$5:$H$120,3,FALSE)</f>
        <v>722536.1</v>
      </c>
    </row>
    <row r="84" spans="1:20">
      <c r="A84" s="24" t="s">
        <v>95</v>
      </c>
      <c r="B84" s="27">
        <f>VLOOKUP(A84,[1]ticket_pivot!$A$6:$V$127,2,FALSE)</f>
        <v>1180356.59</v>
      </c>
      <c r="C84" s="27">
        <f>VLOOKUP(A84,[1]ticket_pivot!$A$6:$V$127,3,FALSE)</f>
        <v>38789.32</v>
      </c>
      <c r="D84" s="28">
        <f t="shared" si="29"/>
        <v>0.0328623742423465</v>
      </c>
      <c r="E84" s="27">
        <f>VLOOKUP(A84,[1]ticket_pivot!$A$6:$V$127,4,FALSE)</f>
        <v>38789.32</v>
      </c>
      <c r="F84" s="28">
        <f t="shared" si="30"/>
        <v>1</v>
      </c>
      <c r="G84" s="27">
        <f>VLOOKUP(A84,[1]Sheet12!$A$5:$G$125,2,FALSE)</f>
        <v>2267935.58</v>
      </c>
      <c r="H84" s="27">
        <f>VLOOKUP(A84,[1]NPL!$A$5:$H$119,2,FALSE)</f>
        <v>963554.78</v>
      </c>
      <c r="I84" s="28">
        <f t="shared" si="31"/>
        <v>0.424859854264467</v>
      </c>
      <c r="J84" s="27">
        <f>VLOOKUP(A84,[1]PAR!$A$5:$H$120,2,FALSE)</f>
        <v>1195862.99</v>
      </c>
      <c r="K84" s="28">
        <f t="shared" si="32"/>
        <v>0.52729142773976</v>
      </c>
      <c r="L84" s="27">
        <f>VLOOKUP(A84,[1]ticket_pivot!$A$6:$V$127,5,FALSE)</f>
        <v>10793165.25</v>
      </c>
      <c r="M84" s="27">
        <f>VLOOKUP(A84,[1]ticket_pivot!$A$6:$V$127,6,FALSE)</f>
        <v>8259406.37</v>
      </c>
      <c r="N84" s="28">
        <f t="shared" si="33"/>
        <v>0.76524413169714</v>
      </c>
      <c r="O84" s="27">
        <f>VLOOKUP(A84,[1]ticket_pivot!$A$6:$V$127,7,FALSE)</f>
        <v>8188062.52</v>
      </c>
      <c r="P84" s="28">
        <f t="shared" si="34"/>
        <v>0.991362109235945</v>
      </c>
      <c r="Q84" s="27">
        <f>VLOOKUP(A84,[1]Sheet12!$A$5:$G$125,3,FALSE)</f>
        <v>55091603.32</v>
      </c>
      <c r="R84" s="27">
        <f>VLOOKUP(A84,[1]NPL!$A$5:$H$119,3,FALSE)</f>
        <v>362300.23</v>
      </c>
      <c r="S84" s="28">
        <f t="shared" si="35"/>
        <v>0.00657632394351597</v>
      </c>
      <c r="T84" s="27">
        <f>VLOOKUP(A84,[1]PAR!$A$5:$H$120,3,FALSE)</f>
        <v>362300.23</v>
      </c>
    </row>
    <row r="85" spans="1:20">
      <c r="A85" s="29" t="s">
        <v>96</v>
      </c>
      <c r="B85" s="30">
        <f>SUM(B83:B84)</f>
        <v>1366876.11</v>
      </c>
      <c r="C85" s="30">
        <f t="shared" ref="C85:T85" si="41">SUM(C83:C84)</f>
        <v>183642.18</v>
      </c>
      <c r="D85" s="31">
        <f t="shared" si="29"/>
        <v>0.134351737261689</v>
      </c>
      <c r="E85" s="30">
        <f t="shared" si="41"/>
        <v>183642.18</v>
      </c>
      <c r="F85" s="31">
        <f t="shared" si="30"/>
        <v>1</v>
      </c>
      <c r="G85" s="30">
        <f t="shared" si="41"/>
        <v>3795070.96</v>
      </c>
      <c r="H85" s="30">
        <f t="shared" si="41"/>
        <v>963554.78</v>
      </c>
      <c r="I85" s="31">
        <f t="shared" si="31"/>
        <v>0.253896380372292</v>
      </c>
      <c r="J85" s="30">
        <f t="shared" si="41"/>
        <v>1195862.99</v>
      </c>
      <c r="K85" s="31">
        <f t="shared" si="32"/>
        <v>0.315109520376399</v>
      </c>
      <c r="L85" s="30">
        <f t="shared" si="41"/>
        <v>18439465.77</v>
      </c>
      <c r="M85" s="30">
        <f t="shared" si="41"/>
        <v>12126103.51</v>
      </c>
      <c r="N85" s="31">
        <f t="shared" si="33"/>
        <v>0.65761685621763</v>
      </c>
      <c r="O85" s="30">
        <f t="shared" si="41"/>
        <v>11957017.3</v>
      </c>
      <c r="P85" s="31">
        <f t="shared" si="34"/>
        <v>0.986056014624932</v>
      </c>
      <c r="Q85" s="30">
        <f t="shared" si="41"/>
        <v>135807564</v>
      </c>
      <c r="R85" s="30">
        <f t="shared" si="41"/>
        <v>938365.3</v>
      </c>
      <c r="S85" s="31">
        <f t="shared" si="35"/>
        <v>0.00690952162281624</v>
      </c>
      <c r="T85" s="30">
        <f t="shared" si="41"/>
        <v>1084836.33</v>
      </c>
    </row>
    <row r="86" spans="1:20">
      <c r="A86" s="24" t="s">
        <v>97</v>
      </c>
      <c r="B86" s="27">
        <f>VLOOKUP(A86,[1]ticket_pivot!$A$6:$V$127,2,FALSE)</f>
        <v>1882457.73</v>
      </c>
      <c r="C86" s="27">
        <f>VLOOKUP(A86,[1]ticket_pivot!$A$6:$V$127,3,FALSE)</f>
        <v>312784.84</v>
      </c>
      <c r="D86" s="28">
        <f t="shared" si="29"/>
        <v>0.166157696406814</v>
      </c>
      <c r="E86" s="27">
        <f>VLOOKUP(A86,[1]ticket_pivot!$A$6:$V$127,4,FALSE)</f>
        <v>269988.28</v>
      </c>
      <c r="F86" s="28">
        <f t="shared" si="30"/>
        <v>0.86317572168779</v>
      </c>
      <c r="G86" s="27">
        <f>VLOOKUP(A86,[1]Sheet12!$A$5:$G$125,2,FALSE)</f>
        <v>4327894.78</v>
      </c>
      <c r="H86" s="27">
        <f>VLOOKUP(A86,[1]NPL!$A$5:$H$119,2,FALSE)</f>
        <v>1518608.82</v>
      </c>
      <c r="I86" s="28">
        <f t="shared" si="31"/>
        <v>0.350888572203227</v>
      </c>
      <c r="J86" s="27">
        <f>VLOOKUP(A86,[1]PAR!$A$5:$H$120,2,FALSE)</f>
        <v>1518608.82</v>
      </c>
      <c r="K86" s="28">
        <f t="shared" si="32"/>
        <v>0.350888572203227</v>
      </c>
      <c r="L86" s="27">
        <f>VLOOKUP(A86,[1]ticket_pivot!$A$6:$V$127,5,FALSE)</f>
        <v>14464780.4</v>
      </c>
      <c r="M86" s="27">
        <f>VLOOKUP(A86,[1]ticket_pivot!$A$6:$V$127,6,FALSE)</f>
        <v>10121987.85</v>
      </c>
      <c r="N86" s="28">
        <f t="shared" si="33"/>
        <v>0.699767820187578</v>
      </c>
      <c r="O86" s="27">
        <f>VLOOKUP(A86,[1]ticket_pivot!$A$6:$V$127,7,FALSE)</f>
        <v>9971439.55</v>
      </c>
      <c r="P86" s="28">
        <f t="shared" si="34"/>
        <v>0.98512660731953</v>
      </c>
      <c r="Q86" s="27">
        <f>VLOOKUP(A86,[1]Sheet12!$A$5:$G$125,3,FALSE)</f>
        <v>114175640.38</v>
      </c>
      <c r="R86" s="27">
        <f>VLOOKUP(A86,[1]NPL!$A$5:$H$119,3,FALSE)</f>
        <v>4984428.1</v>
      </c>
      <c r="S86" s="28">
        <f t="shared" si="35"/>
        <v>0.0436557928066862</v>
      </c>
      <c r="T86" s="27">
        <f>VLOOKUP(A86,[1]PAR!$A$5:$H$120,3,FALSE)</f>
        <v>7527937.58</v>
      </c>
    </row>
    <row r="87" spans="1:20">
      <c r="A87" s="24" t="s">
        <v>98</v>
      </c>
      <c r="B87" s="27">
        <f>VLOOKUP(A87,[1]ticket_pivot!$A$6:$V$127,2,FALSE)</f>
        <v>355916.65</v>
      </c>
      <c r="C87" s="27">
        <f>VLOOKUP(A87,[1]ticket_pivot!$A$6:$V$127,3,FALSE)</f>
        <v>242456.43</v>
      </c>
      <c r="D87" s="28">
        <f t="shared" si="29"/>
        <v>0.681216880412872</v>
      </c>
      <c r="E87" s="27">
        <f>VLOOKUP(A87,[1]ticket_pivot!$A$6:$V$127,4,FALSE)</f>
        <v>242351.64</v>
      </c>
      <c r="F87" s="28">
        <f t="shared" si="30"/>
        <v>0.999567798634996</v>
      </c>
      <c r="G87" s="27">
        <f>VLOOKUP(A87,[1]Sheet12!$A$5:$G$125,2,FALSE)</f>
        <v>1903722.7</v>
      </c>
      <c r="H87" s="27">
        <f>VLOOKUP(A87,[1]NPL!$A$5:$H$119,2,FALSE)</f>
        <v>75560.22</v>
      </c>
      <c r="I87" s="28">
        <f t="shared" si="31"/>
        <v>0.0396907700895724</v>
      </c>
      <c r="J87" s="27">
        <f>VLOOKUP(A87,[1]PAR!$A$5:$H$120,2,FALSE)</f>
        <v>75560.22</v>
      </c>
      <c r="K87" s="28">
        <f t="shared" si="32"/>
        <v>0.0396907700895724</v>
      </c>
      <c r="L87" s="27">
        <f>VLOOKUP(A87,[1]ticket_pivot!$A$6:$V$127,5,FALSE)</f>
        <v>9838331.89</v>
      </c>
      <c r="M87" s="27">
        <f>VLOOKUP(A87,[1]ticket_pivot!$A$6:$V$127,6,FALSE)</f>
        <v>6964221.28</v>
      </c>
      <c r="N87" s="28">
        <f t="shared" si="33"/>
        <v>0.707866064884298</v>
      </c>
      <c r="O87" s="27">
        <f>VLOOKUP(A87,[1]ticket_pivot!$A$6:$V$127,7,FALSE)</f>
        <v>6905866.99</v>
      </c>
      <c r="P87" s="28">
        <f t="shared" si="34"/>
        <v>0.991620844936737</v>
      </c>
      <c r="Q87" s="27">
        <f>VLOOKUP(A87,[1]Sheet12!$A$5:$G$125,3,FALSE)</f>
        <v>44528534.35</v>
      </c>
      <c r="R87" s="27">
        <f>VLOOKUP(A87,[1]NPL!$A$5:$H$119,3,FALSE)</f>
        <v>1896899.44</v>
      </c>
      <c r="S87" s="28">
        <f t="shared" si="35"/>
        <v>0.0425996379106064</v>
      </c>
      <c r="T87" s="27">
        <f>VLOOKUP(A87,[1]PAR!$A$5:$H$120,3,FALSE)</f>
        <v>1990530.22</v>
      </c>
    </row>
    <row r="88" spans="1:20">
      <c r="A88" s="24" t="s">
        <v>99</v>
      </c>
      <c r="B88" s="27">
        <f>VLOOKUP(A88,[1]ticket_pivot!$A$6:$V$127,2,FALSE)</f>
        <v>0</v>
      </c>
      <c r="C88" s="27">
        <f>VLOOKUP(A88,[1]ticket_pivot!$A$6:$V$127,3,FALSE)</f>
        <v>0</v>
      </c>
      <c r="D88" s="28" t="str">
        <f t="shared" si="29"/>
        <v/>
      </c>
      <c r="E88" s="27">
        <f>VLOOKUP(A88,[1]ticket_pivot!$A$6:$V$127,4,FALSE)</f>
        <v>0</v>
      </c>
      <c r="F88" s="28" t="str">
        <f t="shared" si="30"/>
        <v/>
      </c>
      <c r="G88" s="27">
        <f>VLOOKUP(A88,[1]Sheet12!$A$5:$G$125,2,FALSE)</f>
        <v>0</v>
      </c>
      <c r="H88" s="27"/>
      <c r="I88" s="28" t="str">
        <f t="shared" si="31"/>
        <v/>
      </c>
      <c r="J88" s="27"/>
      <c r="K88" s="28" t="str">
        <f t="shared" si="32"/>
        <v/>
      </c>
      <c r="L88" s="27">
        <f>VLOOKUP(A88,[1]ticket_pivot!$A$6:$V$127,5,FALSE)</f>
        <v>283399.36</v>
      </c>
      <c r="M88" s="27">
        <f>VLOOKUP(A88,[1]ticket_pivot!$A$6:$V$127,6,FALSE)</f>
        <v>0</v>
      </c>
      <c r="N88" s="28">
        <f t="shared" si="33"/>
        <v>0</v>
      </c>
      <c r="O88" s="27">
        <f>VLOOKUP(A88,[1]ticket_pivot!$A$6:$V$127,7,FALSE)</f>
        <v>0</v>
      </c>
      <c r="P88" s="28" t="str">
        <f t="shared" si="34"/>
        <v/>
      </c>
      <c r="Q88" s="27">
        <f>VLOOKUP(A88,[1]Sheet12!$A$5:$G$125,3,FALSE)</f>
        <v>0</v>
      </c>
      <c r="R88" s="27"/>
      <c r="S88" s="28" t="str">
        <f t="shared" si="35"/>
        <v/>
      </c>
      <c r="T88" s="27"/>
    </row>
    <row r="89" spans="1:20">
      <c r="A89" s="29" t="s">
        <v>100</v>
      </c>
      <c r="B89" s="30">
        <f>SUM(B86:B88)</f>
        <v>2238374.38</v>
      </c>
      <c r="C89" s="30">
        <f t="shared" ref="C89:T89" si="42">SUM(C86:C88)</f>
        <v>555241.27</v>
      </c>
      <c r="D89" s="31">
        <f t="shared" si="29"/>
        <v>0.24805558666196</v>
      </c>
      <c r="E89" s="30">
        <f t="shared" si="42"/>
        <v>512339.92</v>
      </c>
      <c r="F89" s="31">
        <f t="shared" si="30"/>
        <v>0.922733859462572</v>
      </c>
      <c r="G89" s="30">
        <f t="shared" si="42"/>
        <v>6231617.48</v>
      </c>
      <c r="H89" s="30">
        <f t="shared" si="42"/>
        <v>1594169.04</v>
      </c>
      <c r="I89" s="31">
        <f t="shared" si="31"/>
        <v>0.255819463424446</v>
      </c>
      <c r="J89" s="30">
        <f t="shared" si="42"/>
        <v>1594169.04</v>
      </c>
      <c r="K89" s="31">
        <f t="shared" si="32"/>
        <v>0.255819463424446</v>
      </c>
      <c r="L89" s="30">
        <f t="shared" si="42"/>
        <v>24586511.65</v>
      </c>
      <c r="M89" s="30">
        <f t="shared" si="42"/>
        <v>17086209.13</v>
      </c>
      <c r="N89" s="31">
        <f t="shared" si="33"/>
        <v>0.694942388462009</v>
      </c>
      <c r="O89" s="30">
        <f t="shared" si="42"/>
        <v>16877306.54</v>
      </c>
      <c r="P89" s="31">
        <f t="shared" si="34"/>
        <v>0.987773613888806</v>
      </c>
      <c r="Q89" s="30">
        <f t="shared" si="42"/>
        <v>158704174.73</v>
      </c>
      <c r="R89" s="30">
        <f t="shared" si="42"/>
        <v>6881327.54</v>
      </c>
      <c r="S89" s="31">
        <f t="shared" si="35"/>
        <v>0.0433594614111888</v>
      </c>
      <c r="T89" s="30">
        <f t="shared" si="42"/>
        <v>9518467.8</v>
      </c>
    </row>
    <row r="90" spans="1:20">
      <c r="A90" s="32" t="s">
        <v>101</v>
      </c>
      <c r="B90" s="33">
        <f>SUM(B89,B85,B82)</f>
        <v>6911211.79</v>
      </c>
      <c r="C90" s="33">
        <f t="shared" ref="C90:T90" si="43">SUM(C89,C85,C82)</f>
        <v>2054293.31</v>
      </c>
      <c r="D90" s="34">
        <f t="shared" si="29"/>
        <v>0.297240682592365</v>
      </c>
      <c r="E90" s="33">
        <f t="shared" si="43"/>
        <v>1978185.07</v>
      </c>
      <c r="F90" s="34">
        <f t="shared" si="30"/>
        <v>0.962951619601001</v>
      </c>
      <c r="G90" s="33">
        <f t="shared" si="43"/>
        <v>24042438.42</v>
      </c>
      <c r="H90" s="33">
        <f t="shared" si="43"/>
        <v>3992380.22</v>
      </c>
      <c r="I90" s="34">
        <f t="shared" si="31"/>
        <v>0.166055545209545</v>
      </c>
      <c r="J90" s="33">
        <f t="shared" si="43"/>
        <v>5574960.7</v>
      </c>
      <c r="K90" s="34">
        <f t="shared" si="32"/>
        <v>0.231880003292944</v>
      </c>
      <c r="L90" s="33">
        <f t="shared" si="43"/>
        <v>108636287.79</v>
      </c>
      <c r="M90" s="33">
        <f t="shared" si="43"/>
        <v>72449451.05</v>
      </c>
      <c r="N90" s="34">
        <f t="shared" si="33"/>
        <v>0.666899178201384</v>
      </c>
      <c r="O90" s="33">
        <f t="shared" si="43"/>
        <v>68841582.77</v>
      </c>
      <c r="P90" s="34">
        <f t="shared" si="34"/>
        <v>0.950201578787532</v>
      </c>
      <c r="Q90" s="33">
        <f t="shared" si="43"/>
        <v>698522078.87</v>
      </c>
      <c r="R90" s="33">
        <f t="shared" si="43"/>
        <v>15736844.97</v>
      </c>
      <c r="S90" s="34">
        <f t="shared" si="35"/>
        <v>0.0225287724554928</v>
      </c>
      <c r="T90" s="33">
        <f t="shared" si="43"/>
        <v>26950464.96</v>
      </c>
    </row>
    <row r="91" spans="1:20">
      <c r="A91" s="24" t="s">
        <v>102</v>
      </c>
      <c r="B91" s="27">
        <f>VLOOKUP(A91,[1]ticket_pivot!$A$6:$V$127,2,FALSE)</f>
        <v>5753023.32</v>
      </c>
      <c r="C91" s="27">
        <f>VLOOKUP(A91,[1]ticket_pivot!$A$6:$V$127,3,FALSE)</f>
        <v>3244259.4</v>
      </c>
      <c r="D91" s="28">
        <f t="shared" si="29"/>
        <v>0.563922518568898</v>
      </c>
      <c r="E91" s="27">
        <f>VLOOKUP(A91,[1]ticket_pivot!$A$6:$V$127,4,FALSE)</f>
        <v>3193335.61</v>
      </c>
      <c r="F91" s="28">
        <f t="shared" si="30"/>
        <v>0.984303416058531</v>
      </c>
      <c r="G91" s="27">
        <f>VLOOKUP(A91,[1]Sheet12!$A$5:$G$125,2,FALSE)</f>
        <v>37477546.51</v>
      </c>
      <c r="H91" s="27">
        <f>VLOOKUP(A91,[1]NPL!$A$5:$H$119,2,FALSE)</f>
        <v>1949719.24</v>
      </c>
      <c r="I91" s="28">
        <f t="shared" si="31"/>
        <v>0.0520236627410966</v>
      </c>
      <c r="J91" s="27">
        <f>VLOOKUP(A91,[1]PAR!$A$5:$H$120,2,FALSE)</f>
        <v>2596286.99</v>
      </c>
      <c r="K91" s="28">
        <f t="shared" si="32"/>
        <v>0.0692757992924441</v>
      </c>
      <c r="L91" s="27">
        <f>VLOOKUP(A91,[1]ticket_pivot!$A$6:$V$127,5,FALSE)</f>
        <v>10189538.62</v>
      </c>
      <c r="M91" s="27">
        <f>VLOOKUP(A91,[1]ticket_pivot!$A$6:$V$127,6,FALSE)</f>
        <v>7636415.9</v>
      </c>
      <c r="N91" s="28">
        <f t="shared" si="33"/>
        <v>0.749436867044329</v>
      </c>
      <c r="O91" s="27">
        <f>VLOOKUP(A91,[1]ticket_pivot!$A$6:$V$127,7,FALSE)</f>
        <v>7615248.16</v>
      </c>
      <c r="P91" s="28">
        <f t="shared" si="34"/>
        <v>0.997228053018956</v>
      </c>
      <c r="Q91" s="27">
        <f>VLOOKUP(A91,[1]Sheet12!$A$5:$G$125,3,FALSE)</f>
        <v>70562757.16</v>
      </c>
      <c r="R91" s="27">
        <f>VLOOKUP(A91,[1]NPL!$A$5:$H$119,3,FALSE)</f>
        <v>2128548.58</v>
      </c>
      <c r="S91" s="28">
        <f t="shared" si="35"/>
        <v>0.0301653260965065</v>
      </c>
      <c r="T91" s="27">
        <f>VLOOKUP(A91,[1]PAR!$A$5:$H$120,3,FALSE)</f>
        <v>3951991.57</v>
      </c>
    </row>
    <row r="92" spans="1:20">
      <c r="A92" s="24" t="s">
        <v>103</v>
      </c>
      <c r="B92" s="27">
        <f>VLOOKUP(A92,[1]ticket_pivot!$A$6:$V$127,2,FALSE)</f>
        <v>3760303.42</v>
      </c>
      <c r="C92" s="27">
        <f>VLOOKUP(A92,[1]ticket_pivot!$A$6:$V$127,3,FALSE)</f>
        <v>2243377.31</v>
      </c>
      <c r="D92" s="28">
        <f t="shared" si="29"/>
        <v>0.596594758302776</v>
      </c>
      <c r="E92" s="27">
        <f>VLOOKUP(A92,[1]ticket_pivot!$A$6:$V$127,4,FALSE)</f>
        <v>2110264.79</v>
      </c>
      <c r="F92" s="28">
        <f t="shared" si="30"/>
        <v>0.940664230039842</v>
      </c>
      <c r="G92" s="27">
        <f>VLOOKUP(A92,[1]Sheet12!$A$5:$G$125,2,FALSE)</f>
        <v>27941436.12</v>
      </c>
      <c r="H92" s="27">
        <f>VLOOKUP(A92,[1]NPL!$A$5:$H$119,2,FALSE)</f>
        <v>655208.25</v>
      </c>
      <c r="I92" s="28">
        <f t="shared" si="31"/>
        <v>0.0234493405129958</v>
      </c>
      <c r="J92" s="27">
        <f>VLOOKUP(A92,[1]PAR!$A$5:$H$120,2,FALSE)</f>
        <v>1644440.34</v>
      </c>
      <c r="K92" s="28">
        <f t="shared" si="32"/>
        <v>0.0588531073684841</v>
      </c>
      <c r="L92" s="27">
        <f>VLOOKUP(A92,[1]ticket_pivot!$A$6:$V$127,5,FALSE)</f>
        <v>15631958.45</v>
      </c>
      <c r="M92" s="27">
        <f>VLOOKUP(A92,[1]ticket_pivot!$A$6:$V$127,6,FALSE)</f>
        <v>9010311.2</v>
      </c>
      <c r="N92" s="28">
        <f t="shared" si="33"/>
        <v>0.576403220928469</v>
      </c>
      <c r="O92" s="27">
        <f>VLOOKUP(A92,[1]ticket_pivot!$A$6:$V$127,7,FALSE)</f>
        <v>8828205.47</v>
      </c>
      <c r="P92" s="28">
        <f t="shared" si="34"/>
        <v>0.97978918530583</v>
      </c>
      <c r="Q92" s="27">
        <f>VLOOKUP(A92,[1]Sheet12!$A$5:$G$125,3,FALSE)</f>
        <v>77800960.7</v>
      </c>
      <c r="R92" s="27">
        <f>VLOOKUP(A92,[1]NPL!$A$5:$H$119,3,FALSE)</f>
        <v>5401413.51</v>
      </c>
      <c r="S92" s="28">
        <f t="shared" si="35"/>
        <v>0.0694260515731652</v>
      </c>
      <c r="T92" s="27">
        <f>VLOOKUP(A92,[1]PAR!$A$5:$H$120,3,FALSE)</f>
        <v>9482453.41</v>
      </c>
    </row>
    <row r="93" spans="1:20">
      <c r="A93" s="24" t="s">
        <v>104</v>
      </c>
      <c r="B93" s="27">
        <f>VLOOKUP(A93,[1]ticket_pivot!$A$6:$V$127,2,FALSE)</f>
        <v>6282505.11</v>
      </c>
      <c r="C93" s="27">
        <f>VLOOKUP(A93,[1]ticket_pivot!$A$6:$V$127,3,FALSE)</f>
        <v>3042060.47</v>
      </c>
      <c r="D93" s="28">
        <f t="shared" si="29"/>
        <v>0.484211380132089</v>
      </c>
      <c r="E93" s="27">
        <f>VLOOKUP(A93,[1]ticket_pivot!$A$6:$V$127,4,FALSE)</f>
        <v>2955459.27</v>
      </c>
      <c r="F93" s="28">
        <f t="shared" si="30"/>
        <v>0.971532058335448</v>
      </c>
      <c r="G93" s="27">
        <f>VLOOKUP(A93,[1]Sheet12!$A$5:$G$125,2,FALSE)</f>
        <v>36393834.78</v>
      </c>
      <c r="H93" s="27">
        <f>VLOOKUP(A93,[1]NPL!$A$5:$H$119,2,FALSE)</f>
        <v>2842668.09</v>
      </c>
      <c r="I93" s="28">
        <f t="shared" si="31"/>
        <v>0.0781085067617598</v>
      </c>
      <c r="J93" s="27">
        <f>VLOOKUP(A93,[1]PAR!$A$5:$H$120,2,FALSE)</f>
        <v>3967917.93</v>
      </c>
      <c r="K93" s="28">
        <f t="shared" si="32"/>
        <v>0.109027200732926</v>
      </c>
      <c r="L93" s="27">
        <f>VLOOKUP(A93,[1]ticket_pivot!$A$6:$V$127,5,FALSE)</f>
        <v>11549195.79</v>
      </c>
      <c r="M93" s="27">
        <f>VLOOKUP(A93,[1]ticket_pivot!$A$6:$V$127,6,FALSE)</f>
        <v>6862551.36</v>
      </c>
      <c r="N93" s="28">
        <f t="shared" si="33"/>
        <v>0.594201664322118</v>
      </c>
      <c r="O93" s="27">
        <f>VLOOKUP(A93,[1]ticket_pivot!$A$6:$V$127,7,FALSE)</f>
        <v>6751040.56</v>
      </c>
      <c r="P93" s="28">
        <f t="shared" si="34"/>
        <v>0.983750824707854</v>
      </c>
      <c r="Q93" s="27">
        <f>VLOOKUP(A93,[1]Sheet12!$A$5:$G$125,3,FALSE)</f>
        <v>12042390.47</v>
      </c>
      <c r="R93" s="27">
        <f>VLOOKUP(A93,[1]NPL!$A$5:$H$119,3,FALSE)</f>
        <v>2721033.76</v>
      </c>
      <c r="S93" s="28">
        <f t="shared" si="35"/>
        <v>0.225954619789039</v>
      </c>
      <c r="T93" s="27">
        <f>VLOOKUP(A93,[1]PAR!$A$5:$H$120,3,FALSE)</f>
        <v>8165745.2</v>
      </c>
    </row>
    <row r="94" spans="1:20">
      <c r="A94" s="29" t="s">
        <v>105</v>
      </c>
      <c r="B94" s="30">
        <f>SUM(B91:B93)</f>
        <v>15795831.85</v>
      </c>
      <c r="C94" s="30">
        <f t="shared" ref="C94:T94" si="44">SUM(C91:C93)</f>
        <v>8529697.18</v>
      </c>
      <c r="D94" s="31">
        <f t="shared" si="29"/>
        <v>0.539996706789456</v>
      </c>
      <c r="E94" s="30">
        <f t="shared" si="44"/>
        <v>8259059.67</v>
      </c>
      <c r="F94" s="31">
        <f t="shared" si="30"/>
        <v>0.968271146760687</v>
      </c>
      <c r="G94" s="30">
        <f t="shared" si="44"/>
        <v>101812817.41</v>
      </c>
      <c r="H94" s="30">
        <f t="shared" si="44"/>
        <v>5447595.58</v>
      </c>
      <c r="I94" s="31">
        <f t="shared" si="31"/>
        <v>0.0535059898997053</v>
      </c>
      <c r="J94" s="30">
        <f t="shared" si="44"/>
        <v>8208645.26</v>
      </c>
      <c r="K94" s="31">
        <f t="shared" si="32"/>
        <v>0.0806248709034718</v>
      </c>
      <c r="L94" s="30">
        <f t="shared" si="44"/>
        <v>37370692.86</v>
      </c>
      <c r="M94" s="30">
        <f t="shared" si="44"/>
        <v>23509278.46</v>
      </c>
      <c r="N94" s="31">
        <f t="shared" si="33"/>
        <v>0.629083291232294</v>
      </c>
      <c r="O94" s="30">
        <f t="shared" si="44"/>
        <v>23194494.19</v>
      </c>
      <c r="P94" s="31">
        <f t="shared" si="34"/>
        <v>0.986610211345466</v>
      </c>
      <c r="Q94" s="30">
        <f t="shared" si="44"/>
        <v>160406108.33</v>
      </c>
      <c r="R94" s="30">
        <f t="shared" si="44"/>
        <v>10250995.85</v>
      </c>
      <c r="S94" s="31">
        <f t="shared" si="35"/>
        <v>0.0639065180043571</v>
      </c>
      <c r="T94" s="30">
        <f t="shared" si="44"/>
        <v>21600190.18</v>
      </c>
    </row>
    <row r="95" spans="1:20">
      <c r="A95" s="24" t="s">
        <v>106</v>
      </c>
      <c r="B95" s="27">
        <f>VLOOKUP(A95,[1]ticket_pivot!$A$6:$V$127,2,FALSE)</f>
        <v>4091487.03</v>
      </c>
      <c r="C95" s="27">
        <f>VLOOKUP(A95,[1]ticket_pivot!$A$6:$V$127,3,FALSE)</f>
        <v>2651776.56</v>
      </c>
      <c r="D95" s="28">
        <f t="shared" si="29"/>
        <v>0.648120485426542</v>
      </c>
      <c r="E95" s="27">
        <f>VLOOKUP(A95,[1]ticket_pivot!$A$6:$V$127,4,FALSE)</f>
        <v>2646586.76</v>
      </c>
      <c r="F95" s="28">
        <f t="shared" si="30"/>
        <v>0.998042896947547</v>
      </c>
      <c r="G95" s="27">
        <f>VLOOKUP(A95,[1]Sheet12!$A$5:$G$125,2,FALSE)</f>
        <v>36057196.16</v>
      </c>
      <c r="H95" s="27">
        <f>VLOOKUP(A95,[1]NPL!$A$5:$H$119,2,FALSE)</f>
        <v>1808821.57</v>
      </c>
      <c r="I95" s="28">
        <f t="shared" si="31"/>
        <v>0.0501653418078751</v>
      </c>
      <c r="J95" s="27">
        <f>VLOOKUP(A95,[1]PAR!$A$5:$H$120,2,FALSE)</f>
        <v>3242202.55</v>
      </c>
      <c r="K95" s="28">
        <f t="shared" si="32"/>
        <v>0.0899183213140886</v>
      </c>
      <c r="L95" s="27">
        <f>VLOOKUP(A95,[1]ticket_pivot!$A$6:$V$127,5,FALSE)</f>
        <v>12630918.26</v>
      </c>
      <c r="M95" s="27">
        <f>VLOOKUP(A95,[1]ticket_pivot!$A$6:$V$127,6,FALSE)</f>
        <v>8480023.48</v>
      </c>
      <c r="N95" s="28">
        <f t="shared" si="33"/>
        <v>0.671370307798983</v>
      </c>
      <c r="O95" s="27">
        <f>VLOOKUP(A95,[1]ticket_pivot!$A$6:$V$127,7,FALSE)</f>
        <v>8174163.73</v>
      </c>
      <c r="P95" s="28">
        <f t="shared" si="34"/>
        <v>0.963931733122985</v>
      </c>
      <c r="Q95" s="27">
        <f>VLOOKUP(A95,[1]Sheet12!$A$5:$G$125,3,FALSE)</f>
        <v>10616268.59</v>
      </c>
      <c r="R95" s="27">
        <f>VLOOKUP(A95,[1]NPL!$A$5:$H$119,3,FALSE)</f>
        <v>4450567</v>
      </c>
      <c r="S95" s="28">
        <f t="shared" si="35"/>
        <v>0.419221401782564</v>
      </c>
      <c r="T95" s="27">
        <f>VLOOKUP(A95,[1]PAR!$A$5:$H$120,3,FALSE)</f>
        <v>9275801.74</v>
      </c>
    </row>
    <row r="96" spans="1:20">
      <c r="A96" s="24" t="s">
        <v>107</v>
      </c>
      <c r="B96" s="27">
        <f>VLOOKUP(A96,[1]ticket_pivot!$A$6:$V$127,2,FALSE)</f>
        <v>2491631.8</v>
      </c>
      <c r="C96" s="27">
        <f>VLOOKUP(A96,[1]ticket_pivot!$A$6:$V$127,3,FALSE)</f>
        <v>1172452.22</v>
      </c>
      <c r="D96" s="28">
        <f t="shared" si="29"/>
        <v>0.470555970589234</v>
      </c>
      <c r="E96" s="27">
        <f>VLOOKUP(A96,[1]ticket_pivot!$A$6:$V$127,4,FALSE)</f>
        <v>1157418.19</v>
      </c>
      <c r="F96" s="28">
        <f t="shared" si="30"/>
        <v>0.987177277040765</v>
      </c>
      <c r="G96" s="27">
        <f>VLOOKUP(A96,[1]Sheet12!$A$5:$G$125,2,FALSE)</f>
        <v>14787773.12</v>
      </c>
      <c r="H96" s="27">
        <f>VLOOKUP(A96,[1]NPL!$A$5:$H$119,2,FALSE)</f>
        <v>1205621.58</v>
      </c>
      <c r="I96" s="28">
        <f t="shared" si="31"/>
        <v>0.0815282713777529</v>
      </c>
      <c r="J96" s="27">
        <f>VLOOKUP(A96,[1]PAR!$A$5:$H$120,2,FALSE)</f>
        <v>2085882.23</v>
      </c>
      <c r="K96" s="28">
        <f t="shared" si="32"/>
        <v>0.141054519370392</v>
      </c>
      <c r="L96" s="27">
        <f>VLOOKUP(A96,[1]ticket_pivot!$A$6:$V$127,5,FALSE)</f>
        <v>11275601.19</v>
      </c>
      <c r="M96" s="27">
        <f>VLOOKUP(A96,[1]ticket_pivot!$A$6:$V$127,6,FALSE)</f>
        <v>8794348.93</v>
      </c>
      <c r="N96" s="28">
        <f t="shared" si="33"/>
        <v>0.779945014177998</v>
      </c>
      <c r="O96" s="27">
        <f>VLOOKUP(A96,[1]ticket_pivot!$A$6:$V$127,7,FALSE)</f>
        <v>8723181.36</v>
      </c>
      <c r="P96" s="28">
        <f t="shared" si="34"/>
        <v>0.991907579450569</v>
      </c>
      <c r="Q96" s="27">
        <f>VLOOKUP(A96,[1]Sheet12!$A$5:$G$125,3,FALSE)</f>
        <v>35119388.55</v>
      </c>
      <c r="R96" s="27">
        <f>VLOOKUP(A96,[1]NPL!$A$5:$H$119,3,FALSE)</f>
        <v>1127399.15</v>
      </c>
      <c r="S96" s="28">
        <f t="shared" si="35"/>
        <v>0.0321019014438393</v>
      </c>
      <c r="T96" s="27">
        <f>VLOOKUP(A96,[1]PAR!$A$5:$H$120,3,FALSE)</f>
        <v>2358060.61</v>
      </c>
    </row>
    <row r="97" spans="1:20">
      <c r="A97" s="24" t="s">
        <v>108</v>
      </c>
      <c r="B97" s="27">
        <f>VLOOKUP(A97,[1]ticket_pivot!$A$6:$V$127,2,FALSE)</f>
        <v>4559278.77</v>
      </c>
      <c r="C97" s="27">
        <f>VLOOKUP(A97,[1]ticket_pivot!$A$6:$V$127,3,FALSE)</f>
        <v>2167245.8</v>
      </c>
      <c r="D97" s="28">
        <f t="shared" si="29"/>
        <v>0.475348384981513</v>
      </c>
      <c r="E97" s="27">
        <f>VLOOKUP(A97,[1]ticket_pivot!$A$6:$V$127,4,FALSE)</f>
        <v>1992484.92</v>
      </c>
      <c r="F97" s="28">
        <f t="shared" si="30"/>
        <v>0.919362686041427</v>
      </c>
      <c r="G97" s="27">
        <f>VLOOKUP(A97,[1]Sheet12!$A$5:$G$125,2,FALSE)</f>
        <v>26748565.6</v>
      </c>
      <c r="H97" s="27">
        <f>VLOOKUP(A97,[1]NPL!$A$5:$H$119,2,FALSE)</f>
        <v>2315643.57</v>
      </c>
      <c r="I97" s="28">
        <f t="shared" si="31"/>
        <v>0.086570756900699</v>
      </c>
      <c r="J97" s="27">
        <f>VLOOKUP(A97,[1]PAR!$A$5:$H$120,2,FALSE)</f>
        <v>3087762.74</v>
      </c>
      <c r="K97" s="28">
        <f t="shared" si="32"/>
        <v>0.115436572793272</v>
      </c>
      <c r="L97" s="27">
        <f>VLOOKUP(A97,[1]ticket_pivot!$A$6:$V$127,5,FALSE)</f>
        <v>23338917.32</v>
      </c>
      <c r="M97" s="27">
        <f>VLOOKUP(A97,[1]ticket_pivot!$A$6:$V$127,6,FALSE)</f>
        <v>15016788.85</v>
      </c>
      <c r="N97" s="28">
        <f t="shared" si="33"/>
        <v>0.643422685127367</v>
      </c>
      <c r="O97" s="27">
        <f>VLOOKUP(A97,[1]ticket_pivot!$A$6:$V$127,7,FALSE)</f>
        <v>14613117.16</v>
      </c>
      <c r="P97" s="28">
        <f t="shared" si="34"/>
        <v>0.973118641140113</v>
      </c>
      <c r="Q97" s="27">
        <f>VLOOKUP(A97,[1]Sheet12!$A$5:$G$125,3,FALSE)</f>
        <v>33432480</v>
      </c>
      <c r="R97" s="27">
        <f>VLOOKUP(A97,[1]NPL!$A$5:$H$119,3,FALSE)</f>
        <v>6612965.84</v>
      </c>
      <c r="S97" s="28">
        <f t="shared" si="35"/>
        <v>0.197800636985351</v>
      </c>
      <c r="T97" s="27">
        <f>VLOOKUP(A97,[1]PAR!$A$5:$H$120,3,FALSE)</f>
        <v>9940908.99</v>
      </c>
    </row>
    <row r="98" spans="1:20">
      <c r="A98" s="29" t="s">
        <v>109</v>
      </c>
      <c r="B98" s="30">
        <f>SUM(B95:B97)</f>
        <v>11142397.6</v>
      </c>
      <c r="C98" s="30">
        <f t="shared" ref="C98:T98" si="45">SUM(C95:C97)</f>
        <v>5991474.58</v>
      </c>
      <c r="D98" s="31">
        <f t="shared" si="29"/>
        <v>0.537718612733762</v>
      </c>
      <c r="E98" s="30">
        <f t="shared" si="45"/>
        <v>5796489.87</v>
      </c>
      <c r="F98" s="31">
        <f t="shared" si="30"/>
        <v>0.967456306891316</v>
      </c>
      <c r="G98" s="30">
        <f t="shared" si="45"/>
        <v>77593534.88</v>
      </c>
      <c r="H98" s="30">
        <f t="shared" si="45"/>
        <v>5330086.72</v>
      </c>
      <c r="I98" s="31">
        <f t="shared" si="31"/>
        <v>0.06869240753425</v>
      </c>
      <c r="J98" s="30">
        <f t="shared" si="45"/>
        <v>8415847.52</v>
      </c>
      <c r="K98" s="31">
        <f t="shared" si="32"/>
        <v>0.10846067952717</v>
      </c>
      <c r="L98" s="30">
        <f t="shared" si="45"/>
        <v>47245436.77</v>
      </c>
      <c r="M98" s="30">
        <f t="shared" si="45"/>
        <v>32291161.26</v>
      </c>
      <c r="N98" s="31">
        <f t="shared" si="33"/>
        <v>0.683476827978111</v>
      </c>
      <c r="O98" s="30">
        <f t="shared" si="45"/>
        <v>31510462.25</v>
      </c>
      <c r="P98" s="31">
        <f t="shared" si="34"/>
        <v>0.975823136129605</v>
      </c>
      <c r="Q98" s="30">
        <f t="shared" si="45"/>
        <v>79168137.14</v>
      </c>
      <c r="R98" s="30">
        <f t="shared" si="45"/>
        <v>12190931.99</v>
      </c>
      <c r="S98" s="31">
        <f t="shared" si="35"/>
        <v>0.153987859641584</v>
      </c>
      <c r="T98" s="30">
        <f t="shared" si="45"/>
        <v>21574771.34</v>
      </c>
    </row>
    <row r="99" spans="1:20">
      <c r="A99" s="32" t="s">
        <v>110</v>
      </c>
      <c r="B99" s="33">
        <f>SUM(B98,B94)</f>
        <v>26938229.45</v>
      </c>
      <c r="C99" s="33">
        <f t="shared" ref="C99:T99" si="46">SUM(C98,C94)</f>
        <v>14521171.76</v>
      </c>
      <c r="D99" s="34">
        <f t="shared" si="29"/>
        <v>0.539054424009296</v>
      </c>
      <c r="E99" s="33">
        <f t="shared" si="46"/>
        <v>14055549.54</v>
      </c>
      <c r="F99" s="34">
        <f t="shared" si="30"/>
        <v>0.967934941635867</v>
      </c>
      <c r="G99" s="33">
        <f t="shared" si="46"/>
        <v>179406352.29</v>
      </c>
      <c r="H99" s="33">
        <f t="shared" si="46"/>
        <v>10777682.3</v>
      </c>
      <c r="I99" s="34">
        <f t="shared" si="31"/>
        <v>0.0600741398642256</v>
      </c>
      <c r="J99" s="33">
        <f t="shared" si="46"/>
        <v>16624492.78</v>
      </c>
      <c r="K99" s="34">
        <f t="shared" si="32"/>
        <v>0.092663902742571</v>
      </c>
      <c r="L99" s="33">
        <f t="shared" si="46"/>
        <v>84616129.63</v>
      </c>
      <c r="M99" s="33">
        <f t="shared" si="46"/>
        <v>55800439.72</v>
      </c>
      <c r="N99" s="34">
        <f t="shared" si="33"/>
        <v>0.659453935839395</v>
      </c>
      <c r="O99" s="33">
        <f t="shared" si="46"/>
        <v>54704956.44</v>
      </c>
      <c r="P99" s="34">
        <f t="shared" si="34"/>
        <v>0.980367837861189</v>
      </c>
      <c r="Q99" s="33">
        <f t="shared" si="46"/>
        <v>239574245.47</v>
      </c>
      <c r="R99" s="33">
        <f t="shared" si="46"/>
        <v>22441927.84</v>
      </c>
      <c r="S99" s="34">
        <f t="shared" si="35"/>
        <v>0.0936742085776922</v>
      </c>
      <c r="T99" s="33">
        <f t="shared" si="46"/>
        <v>43174961.52</v>
      </c>
    </row>
    <row r="100" spans="1:20">
      <c r="A100" s="24" t="s">
        <v>111</v>
      </c>
      <c r="B100" s="27">
        <f>VLOOKUP(A100,[1]ticket_pivot!$A$6:$V$127,2,FALSE)</f>
        <v>1909047.58</v>
      </c>
      <c r="C100" s="27">
        <f>VLOOKUP(A100,[1]ticket_pivot!$A$6:$V$127,3,FALSE)</f>
        <v>408042.36</v>
      </c>
      <c r="D100" s="28">
        <f t="shared" si="29"/>
        <v>0.213741325399548</v>
      </c>
      <c r="E100" s="27">
        <f>VLOOKUP(A100,[1]ticket_pivot!$A$6:$V$127,4,FALSE)</f>
        <v>345876.96</v>
      </c>
      <c r="F100" s="28">
        <f t="shared" si="30"/>
        <v>0.847649641081382</v>
      </c>
      <c r="G100" s="27">
        <f>VLOOKUP(A100,[1]Sheet12!$A$5:$G$125,2,FALSE)</f>
        <v>5446539.87</v>
      </c>
      <c r="H100" s="27">
        <f>VLOOKUP(A100,[1]NPL!$A$5:$H$119,2,FALSE)</f>
        <v>582812.72</v>
      </c>
      <c r="I100" s="28">
        <f t="shared" si="31"/>
        <v>0.107006050430326</v>
      </c>
      <c r="J100" s="27">
        <f>VLOOKUP(A100,[1]PAR!$A$5:$H$120,2,FALSE)</f>
        <v>582812.72</v>
      </c>
      <c r="K100" s="28">
        <f t="shared" si="32"/>
        <v>0.107006050430326</v>
      </c>
      <c r="L100" s="27">
        <f>VLOOKUP(A100,[1]ticket_pivot!$A$6:$V$127,5,FALSE)</f>
        <v>5963358.94</v>
      </c>
      <c r="M100" s="27">
        <f>VLOOKUP(A100,[1]ticket_pivot!$A$6:$V$127,6,FALSE)</f>
        <v>3956053.29</v>
      </c>
      <c r="N100" s="28">
        <f t="shared" si="33"/>
        <v>0.663393454897417</v>
      </c>
      <c r="O100" s="27">
        <f>VLOOKUP(A100,[1]ticket_pivot!$A$6:$V$127,7,FALSE)</f>
        <v>3767930.93</v>
      </c>
      <c r="P100" s="28">
        <f t="shared" si="34"/>
        <v>0.952446960086324</v>
      </c>
      <c r="Q100" s="27">
        <f>VLOOKUP(A100,[1]Sheet12!$A$5:$G$125,3,FALSE)</f>
        <v>26109493.03</v>
      </c>
      <c r="R100" s="27">
        <f>VLOOKUP(A100,[1]NPL!$A$5:$H$119,3,FALSE)</f>
        <v>816629.67</v>
      </c>
      <c r="S100" s="28">
        <f t="shared" si="35"/>
        <v>0.0312771170647276</v>
      </c>
      <c r="T100" s="27">
        <f>VLOOKUP(A100,[1]PAR!$A$5:$H$120,3,FALSE)</f>
        <v>3254138.39</v>
      </c>
    </row>
    <row r="101" spans="1:20">
      <c r="A101" s="24" t="s">
        <v>112</v>
      </c>
      <c r="B101" s="27">
        <f>VLOOKUP(A101,[1]ticket_pivot!$A$6:$V$127,2,FALSE)</f>
        <v>832583.83</v>
      </c>
      <c r="C101" s="27">
        <f>VLOOKUP(A101,[1]ticket_pivot!$A$6:$V$127,3,FALSE)</f>
        <v>313756.35</v>
      </c>
      <c r="D101" s="28">
        <f t="shared" si="29"/>
        <v>0.376846557301023</v>
      </c>
      <c r="E101" s="27">
        <f>VLOOKUP(A101,[1]ticket_pivot!$A$6:$V$127,4,FALSE)</f>
        <v>313248.09</v>
      </c>
      <c r="F101" s="28">
        <f t="shared" si="30"/>
        <v>0.998380080594385</v>
      </c>
      <c r="G101" s="27">
        <f>VLOOKUP(A101,[1]Sheet12!$A$5:$G$125,2,FALSE)</f>
        <v>5477773.61</v>
      </c>
      <c r="H101" s="27">
        <f>VLOOKUP(A101,[1]NPL!$A$5:$H$119,2,FALSE)</f>
        <v>5865.85</v>
      </c>
      <c r="I101" s="28">
        <f t="shared" si="31"/>
        <v>0.00107084564234118</v>
      </c>
      <c r="J101" s="27">
        <f>VLOOKUP(A101,[1]PAR!$A$5:$H$120,2,FALSE)</f>
        <v>644239.19</v>
      </c>
      <c r="K101" s="28">
        <f t="shared" si="32"/>
        <v>0.117609677921684</v>
      </c>
      <c r="L101" s="27">
        <f>VLOOKUP(A101,[1]ticket_pivot!$A$6:$V$127,5,FALSE)</f>
        <v>21398661.1</v>
      </c>
      <c r="M101" s="27">
        <f>VLOOKUP(A101,[1]ticket_pivot!$A$6:$V$127,6,FALSE)</f>
        <v>10493233.8</v>
      </c>
      <c r="N101" s="28">
        <f t="shared" si="33"/>
        <v>0.490368708161839</v>
      </c>
      <c r="O101" s="27">
        <f>VLOOKUP(A101,[1]ticket_pivot!$A$6:$V$127,7,FALSE)</f>
        <v>9960711.7</v>
      </c>
      <c r="P101" s="28">
        <f t="shared" si="34"/>
        <v>0.949250906808157</v>
      </c>
      <c r="Q101" s="27">
        <f>VLOOKUP(A101,[1]Sheet12!$A$5:$G$125,3,FALSE)</f>
        <v>137900183.35</v>
      </c>
      <c r="R101" s="27">
        <f>VLOOKUP(A101,[1]NPL!$A$5:$H$119,3,FALSE)</f>
        <v>8102298.85</v>
      </c>
      <c r="S101" s="28">
        <f t="shared" si="35"/>
        <v>0.0587548083923559</v>
      </c>
      <c r="T101" s="27">
        <f>VLOOKUP(A101,[1]PAR!$A$5:$H$120,3,FALSE)</f>
        <v>15873552.72</v>
      </c>
    </row>
    <row r="102" spans="1:20">
      <c r="A102" s="24" t="s">
        <v>113</v>
      </c>
      <c r="B102" s="27">
        <f>VLOOKUP(A102,[1]ticket_pivot!$A$6:$V$127,2,FALSE)</f>
        <v>896704.02</v>
      </c>
      <c r="C102" s="27">
        <f>VLOOKUP(A102,[1]ticket_pivot!$A$6:$V$127,3,FALSE)</f>
        <v>567271.11</v>
      </c>
      <c r="D102" s="28">
        <f t="shared" si="29"/>
        <v>0.632618006998564</v>
      </c>
      <c r="E102" s="27">
        <f>VLOOKUP(A102,[1]ticket_pivot!$A$6:$V$127,4,FALSE)</f>
        <v>566294.92</v>
      </c>
      <c r="F102" s="28">
        <f t="shared" si="30"/>
        <v>0.998279147337505</v>
      </c>
      <c r="G102" s="27">
        <f>VLOOKUP(A102,[1]Sheet12!$A$5:$G$125,2,FALSE)</f>
        <v>6215598.96</v>
      </c>
      <c r="H102" s="27">
        <f>VLOOKUP(A102,[1]NPL!$A$5:$H$119,2,FALSE)</f>
        <v>607838.87</v>
      </c>
      <c r="I102" s="28">
        <f t="shared" si="31"/>
        <v>0.0977924853118258</v>
      </c>
      <c r="J102" s="27">
        <f>VLOOKUP(A102,[1]PAR!$A$5:$H$120,2,FALSE)</f>
        <v>607838.87</v>
      </c>
      <c r="K102" s="28">
        <f t="shared" si="32"/>
        <v>0.0977924853118258</v>
      </c>
      <c r="L102" s="27">
        <f>VLOOKUP(A102,[1]ticket_pivot!$A$6:$V$127,5,FALSE)</f>
        <v>10905617.83</v>
      </c>
      <c r="M102" s="27">
        <f>VLOOKUP(A102,[1]ticket_pivot!$A$6:$V$127,6,FALSE)</f>
        <v>7824944.71</v>
      </c>
      <c r="N102" s="28">
        <f t="shared" si="33"/>
        <v>0.717515030507905</v>
      </c>
      <c r="O102" s="27">
        <f>VLOOKUP(A102,[1]ticket_pivot!$A$6:$V$127,7,FALSE)</f>
        <v>7746002.89</v>
      </c>
      <c r="P102" s="28">
        <f t="shared" si="34"/>
        <v>0.989911517215052</v>
      </c>
      <c r="Q102" s="27">
        <f>VLOOKUP(A102,[1]Sheet12!$A$5:$G$125,3,FALSE)</f>
        <v>47325839.18</v>
      </c>
      <c r="R102" s="27">
        <f>VLOOKUP(A102,[1]NPL!$A$5:$H$119,3,FALSE)</f>
        <v>1777642.73</v>
      </c>
      <c r="S102" s="28">
        <f t="shared" si="35"/>
        <v>0.0375617793746642</v>
      </c>
      <c r="T102" s="27">
        <f>VLOOKUP(A102,[1]PAR!$A$5:$H$120,3,FALSE)</f>
        <v>5614802.71</v>
      </c>
    </row>
    <row r="103" spans="1:20">
      <c r="A103" s="24" t="s">
        <v>114</v>
      </c>
      <c r="B103" s="27"/>
      <c r="C103" s="27"/>
      <c r="D103" s="28" t="str">
        <f t="shared" si="29"/>
        <v/>
      </c>
      <c r="E103" s="27"/>
      <c r="F103" s="28" t="str">
        <f t="shared" si="30"/>
        <v/>
      </c>
      <c r="G103" s="27"/>
      <c r="H103" s="27"/>
      <c r="I103" s="28" t="str">
        <f t="shared" si="31"/>
        <v/>
      </c>
      <c r="J103" s="27"/>
      <c r="K103" s="28" t="str">
        <f t="shared" si="32"/>
        <v/>
      </c>
      <c r="L103" s="27"/>
      <c r="M103" s="27"/>
      <c r="N103" s="28" t="str">
        <f t="shared" si="33"/>
        <v/>
      </c>
      <c r="O103" s="27"/>
      <c r="P103" s="28" t="str">
        <f t="shared" si="34"/>
        <v/>
      </c>
      <c r="Q103" s="27"/>
      <c r="R103" s="27"/>
      <c r="S103" s="28" t="str">
        <f t="shared" si="35"/>
        <v/>
      </c>
      <c r="T103" s="27"/>
    </row>
    <row r="104" spans="1:20">
      <c r="A104" s="29" t="s">
        <v>115</v>
      </c>
      <c r="B104" s="30">
        <f>SUM(B100:B103)</f>
        <v>3638335.43</v>
      </c>
      <c r="C104" s="30">
        <f t="shared" ref="C104:T104" si="47">SUM(C100:C103)</f>
        <v>1289069.82</v>
      </c>
      <c r="D104" s="31">
        <f t="shared" si="29"/>
        <v>0.354302082587256</v>
      </c>
      <c r="E104" s="30">
        <f t="shared" si="47"/>
        <v>1225419.97</v>
      </c>
      <c r="F104" s="31">
        <f t="shared" si="30"/>
        <v>0.950623427053781</v>
      </c>
      <c r="G104" s="30">
        <f t="shared" si="47"/>
        <v>17139912.44</v>
      </c>
      <c r="H104" s="30">
        <f t="shared" si="47"/>
        <v>1196517.44</v>
      </c>
      <c r="I104" s="31">
        <f t="shared" si="31"/>
        <v>0.0698088420339678</v>
      </c>
      <c r="J104" s="30">
        <f t="shared" si="47"/>
        <v>1834890.78</v>
      </c>
      <c r="K104" s="31">
        <f t="shared" si="32"/>
        <v>0.107053684575299</v>
      </c>
      <c r="L104" s="30">
        <f t="shared" si="47"/>
        <v>38267637.87</v>
      </c>
      <c r="M104" s="30">
        <f t="shared" si="47"/>
        <v>22274231.8</v>
      </c>
      <c r="N104" s="31">
        <f t="shared" si="33"/>
        <v>0.582064455498099</v>
      </c>
      <c r="O104" s="30">
        <f t="shared" si="47"/>
        <v>21474645.52</v>
      </c>
      <c r="P104" s="31">
        <f t="shared" si="34"/>
        <v>0.964102632711221</v>
      </c>
      <c r="Q104" s="30">
        <f t="shared" si="47"/>
        <v>211335515.56</v>
      </c>
      <c r="R104" s="30">
        <f t="shared" si="47"/>
        <v>10696571.25</v>
      </c>
      <c r="S104" s="31">
        <f t="shared" si="35"/>
        <v>0.0506141678158357</v>
      </c>
      <c r="T104" s="30">
        <f t="shared" si="47"/>
        <v>24742493.82</v>
      </c>
    </row>
    <row r="105" spans="1:20">
      <c r="A105" s="24" t="s">
        <v>116</v>
      </c>
      <c r="B105" s="27">
        <f>VLOOKUP(A105,[1]ticket_pivot!$A$6:$V$127,2,FALSE)</f>
        <v>1322462.21</v>
      </c>
      <c r="C105" s="27">
        <f>VLOOKUP(A105,[1]ticket_pivot!$A$6:$V$127,3,FALSE)</f>
        <v>1037178.03</v>
      </c>
      <c r="D105" s="28">
        <f t="shared" si="29"/>
        <v>0.784278009728535</v>
      </c>
      <c r="E105" s="27">
        <f>VLOOKUP(A105,[1]ticket_pivot!$A$6:$V$127,4,FALSE)</f>
        <v>1013494.41</v>
      </c>
      <c r="F105" s="28">
        <f t="shared" si="30"/>
        <v>0.977165328116331</v>
      </c>
      <c r="G105" s="27">
        <f>VLOOKUP(A105,[1]Sheet12!$A$5:$G$125,2,FALSE)</f>
        <v>8260550.78</v>
      </c>
      <c r="H105" s="27">
        <f>VLOOKUP(A105,[1]NPL!$A$5:$H$119,2,FALSE)</f>
        <v>17464.89</v>
      </c>
      <c r="I105" s="28">
        <f t="shared" si="31"/>
        <v>0.00211425248329507</v>
      </c>
      <c r="J105" s="27">
        <f>VLOOKUP(A105,[1]PAR!$A$5:$H$120,2,FALSE)</f>
        <v>17464.89</v>
      </c>
      <c r="K105" s="28">
        <f t="shared" si="32"/>
        <v>0.00211425248329507</v>
      </c>
      <c r="L105" s="27">
        <f>VLOOKUP(A105,[1]ticket_pivot!$A$6:$V$127,5,FALSE)</f>
        <v>14350935.41</v>
      </c>
      <c r="M105" s="27">
        <f>VLOOKUP(A105,[1]ticket_pivot!$A$6:$V$127,6,FALSE)</f>
        <v>8225469.32</v>
      </c>
      <c r="N105" s="28">
        <f t="shared" si="33"/>
        <v>0.573166074893511</v>
      </c>
      <c r="O105" s="27">
        <f>VLOOKUP(A105,[1]ticket_pivot!$A$6:$V$127,7,FALSE)</f>
        <v>7417512.89</v>
      </c>
      <c r="P105" s="28">
        <f t="shared" si="34"/>
        <v>0.901773820001313</v>
      </c>
      <c r="Q105" s="27">
        <f>VLOOKUP(A105,[1]Sheet12!$A$5:$G$125,3,FALSE)</f>
        <v>19089098.79</v>
      </c>
      <c r="R105" s="27">
        <f>VLOOKUP(A105,[1]NPL!$A$5:$H$119,3,FALSE)</f>
        <v>4890350.29</v>
      </c>
      <c r="S105" s="28">
        <f t="shared" si="35"/>
        <v>0.256185498529761</v>
      </c>
      <c r="T105" s="27">
        <f>VLOOKUP(A105,[1]PAR!$A$5:$H$120,3,FALSE)</f>
        <v>10247784.85</v>
      </c>
    </row>
    <row r="106" spans="1:20">
      <c r="A106" s="24" t="s">
        <v>117</v>
      </c>
      <c r="B106" s="27">
        <f>VLOOKUP(A106,[1]ticket_pivot!$A$6:$V$127,2,FALSE)</f>
        <v>1052003.46</v>
      </c>
      <c r="C106" s="27">
        <f>VLOOKUP(A106,[1]ticket_pivot!$A$6:$V$127,3,FALSE)</f>
        <v>521081.79</v>
      </c>
      <c r="D106" s="28">
        <f t="shared" si="29"/>
        <v>0.495323266332223</v>
      </c>
      <c r="E106" s="27">
        <f>VLOOKUP(A106,[1]ticket_pivot!$A$6:$V$127,4,FALSE)</f>
        <v>452522.05</v>
      </c>
      <c r="F106" s="28">
        <f t="shared" si="30"/>
        <v>0.868428063855388</v>
      </c>
      <c r="G106" s="27">
        <f>VLOOKUP(A106,[1]Sheet12!$A$5:$G$125,2,FALSE)</f>
        <v>4844664.77</v>
      </c>
      <c r="H106" s="27">
        <f>VLOOKUP(A106,[1]NPL!$A$5:$H$119,2,FALSE)</f>
        <v>780759.63</v>
      </c>
      <c r="I106" s="28">
        <f t="shared" si="31"/>
        <v>0.161158649166968</v>
      </c>
      <c r="J106" s="27">
        <f>VLOOKUP(A106,[1]PAR!$A$5:$H$120,2,FALSE)</f>
        <v>1376121.92</v>
      </c>
      <c r="K106" s="28">
        <f t="shared" si="32"/>
        <v>0.284048945661105</v>
      </c>
      <c r="L106" s="27">
        <f>VLOOKUP(A106,[1]ticket_pivot!$A$6:$V$127,5,FALSE)</f>
        <v>9238265.9</v>
      </c>
      <c r="M106" s="27">
        <f>VLOOKUP(A106,[1]ticket_pivot!$A$6:$V$127,6,FALSE)</f>
        <v>5891138.36</v>
      </c>
      <c r="N106" s="28">
        <f t="shared" si="33"/>
        <v>0.637688763645567</v>
      </c>
      <c r="O106" s="27">
        <f>VLOOKUP(A106,[1]ticket_pivot!$A$6:$V$127,7,FALSE)</f>
        <v>5761705.95</v>
      </c>
      <c r="P106" s="28">
        <f t="shared" si="34"/>
        <v>0.978029304000254</v>
      </c>
      <c r="Q106" s="27">
        <f>VLOOKUP(A106,[1]Sheet12!$A$5:$G$125,3,FALSE)</f>
        <v>58339471.84</v>
      </c>
      <c r="R106" s="27">
        <f>VLOOKUP(A106,[1]NPL!$A$5:$H$119,3,FALSE)</f>
        <v>4923409.73</v>
      </c>
      <c r="S106" s="28">
        <f t="shared" si="35"/>
        <v>0.084392428911643</v>
      </c>
      <c r="T106" s="27">
        <f>VLOOKUP(A106,[1]PAR!$A$5:$H$120,3,FALSE)</f>
        <v>6405299.95</v>
      </c>
    </row>
    <row r="107" spans="1:20">
      <c r="A107" s="24" t="s">
        <v>118</v>
      </c>
      <c r="B107" s="27">
        <f>VLOOKUP(A107,[1]ticket_pivot!$A$6:$V$127,2,FALSE)</f>
        <v>923667.43</v>
      </c>
      <c r="C107" s="27">
        <f>VLOOKUP(A107,[1]ticket_pivot!$A$6:$V$127,3,FALSE)</f>
        <v>741047.99</v>
      </c>
      <c r="D107" s="28">
        <f t="shared" si="29"/>
        <v>0.802288752348884</v>
      </c>
      <c r="E107" s="27">
        <f>VLOOKUP(A107,[1]ticket_pivot!$A$6:$V$127,4,FALSE)</f>
        <v>739647.71</v>
      </c>
      <c r="F107" s="28">
        <f t="shared" si="30"/>
        <v>0.998110405778174</v>
      </c>
      <c r="G107" s="27">
        <f>VLOOKUP(A107,[1]Sheet12!$A$5:$G$125,2,FALSE)</f>
        <v>10515206.07</v>
      </c>
      <c r="H107" s="27">
        <f>VLOOKUP(A107,[1]NPL!$A$5:$H$119,2,FALSE)</f>
        <v>0</v>
      </c>
      <c r="I107" s="28">
        <f t="shared" si="31"/>
        <v>0</v>
      </c>
      <c r="J107" s="27">
        <f>VLOOKUP(A107,[1]PAR!$A$5:$H$120,2,FALSE)</f>
        <v>179029.05</v>
      </c>
      <c r="K107" s="28">
        <f t="shared" si="32"/>
        <v>0.0170257291020451</v>
      </c>
      <c r="L107" s="27">
        <f>VLOOKUP(A107,[1]ticket_pivot!$A$6:$V$127,5,FALSE)</f>
        <v>8161450.87</v>
      </c>
      <c r="M107" s="27">
        <f>VLOOKUP(A107,[1]ticket_pivot!$A$6:$V$127,6,FALSE)</f>
        <v>6214358.56</v>
      </c>
      <c r="N107" s="28">
        <f t="shared" si="33"/>
        <v>0.761428165038994</v>
      </c>
      <c r="O107" s="27">
        <f>VLOOKUP(A107,[1]ticket_pivot!$A$6:$V$127,7,FALSE)</f>
        <v>6166194.29</v>
      </c>
      <c r="P107" s="28">
        <f t="shared" si="34"/>
        <v>0.992249518669551</v>
      </c>
      <c r="Q107" s="27">
        <f>VLOOKUP(A107,[1]Sheet12!$A$5:$G$125,3,FALSE)</f>
        <v>41404879.72</v>
      </c>
      <c r="R107" s="27">
        <f>VLOOKUP(A107,[1]NPL!$A$5:$H$119,3,FALSE)</f>
        <v>1592467.72</v>
      </c>
      <c r="S107" s="28">
        <f t="shared" si="35"/>
        <v>0.0384608705729625</v>
      </c>
      <c r="T107" s="27">
        <f>VLOOKUP(A107,[1]PAR!$A$5:$H$120,3,FALSE)</f>
        <v>3119432.75</v>
      </c>
    </row>
    <row r="108" spans="1:20">
      <c r="A108" s="24" t="s">
        <v>119</v>
      </c>
      <c r="B108" s="27">
        <f>VLOOKUP(A108,[1]ticket_pivot!$A$6:$V$127,2,FALSE)</f>
        <v>1640859.19</v>
      </c>
      <c r="C108" s="27">
        <f>VLOOKUP(A108,[1]ticket_pivot!$A$6:$V$127,3,FALSE)</f>
        <v>1421211.26</v>
      </c>
      <c r="D108" s="28">
        <f t="shared" si="29"/>
        <v>0.866138464934337</v>
      </c>
      <c r="E108" s="27">
        <f>VLOOKUP(A108,[1]ticket_pivot!$A$6:$V$127,4,FALSE)</f>
        <v>1419069.02</v>
      </c>
      <c r="F108" s="28">
        <f t="shared" si="30"/>
        <v>0.99849266603756</v>
      </c>
      <c r="G108" s="27">
        <f>VLOOKUP(A108,[1]Sheet12!$A$5:$G$125,2,FALSE)</f>
        <v>16087052.08</v>
      </c>
      <c r="H108" s="27">
        <f>VLOOKUP(A108,[1]NPL!$A$5:$H$119,2,FALSE)</f>
        <v>0</v>
      </c>
      <c r="I108" s="28">
        <f t="shared" si="31"/>
        <v>0</v>
      </c>
      <c r="J108" s="27">
        <f>VLOOKUP(A108,[1]PAR!$A$5:$H$120,2,FALSE)</f>
        <v>235539.52</v>
      </c>
      <c r="K108" s="28">
        <f t="shared" si="32"/>
        <v>0.0146415588653953</v>
      </c>
      <c r="L108" s="27">
        <f>VLOOKUP(A108,[1]ticket_pivot!$A$6:$V$127,5,FALSE)</f>
        <v>4611667.22</v>
      </c>
      <c r="M108" s="27">
        <f>VLOOKUP(A108,[1]ticket_pivot!$A$6:$V$127,6,FALSE)</f>
        <v>3604830.17</v>
      </c>
      <c r="N108" s="28">
        <f t="shared" si="33"/>
        <v>0.781676126665532</v>
      </c>
      <c r="O108" s="27">
        <f>VLOOKUP(A108,[1]ticket_pivot!$A$6:$V$127,7,FALSE)</f>
        <v>3591204.03</v>
      </c>
      <c r="P108" s="28">
        <f t="shared" si="34"/>
        <v>0.996220032745675</v>
      </c>
      <c r="Q108" s="27">
        <f>VLOOKUP(A108,[1]Sheet12!$A$5:$G$125,3,FALSE)</f>
        <v>12364768.01</v>
      </c>
      <c r="R108" s="27">
        <f>VLOOKUP(A108,[1]NPL!$A$5:$H$119,3,FALSE)</f>
        <v>1626429.97</v>
      </c>
      <c r="S108" s="28">
        <f t="shared" si="35"/>
        <v>0.131537443216454</v>
      </c>
      <c r="T108" s="27">
        <f>VLOOKUP(A108,[1]PAR!$A$5:$H$120,3,FALSE)</f>
        <v>1626429.97</v>
      </c>
    </row>
    <row r="109" spans="1:20">
      <c r="A109" s="29" t="s">
        <v>120</v>
      </c>
      <c r="B109" s="30">
        <f>SUM(B105:B108)</f>
        <v>4938992.29</v>
      </c>
      <c r="C109" s="30">
        <f t="shared" ref="C109:T109" si="48">SUM(C105:C108)</f>
        <v>3720519.07</v>
      </c>
      <c r="D109" s="31">
        <f t="shared" si="29"/>
        <v>0.753295176737358</v>
      </c>
      <c r="E109" s="30">
        <f t="shared" si="48"/>
        <v>3624733.19</v>
      </c>
      <c r="F109" s="31">
        <f t="shared" si="30"/>
        <v>0.974254699895948</v>
      </c>
      <c r="G109" s="30">
        <f t="shared" si="48"/>
        <v>39707473.7</v>
      </c>
      <c r="H109" s="30">
        <f t="shared" si="48"/>
        <v>798224.52</v>
      </c>
      <c r="I109" s="31">
        <f t="shared" si="31"/>
        <v>0.0201026266750383</v>
      </c>
      <c r="J109" s="30">
        <f t="shared" si="48"/>
        <v>1808155.38</v>
      </c>
      <c r="K109" s="31">
        <f t="shared" si="32"/>
        <v>0.0455369030440232</v>
      </c>
      <c r="L109" s="30">
        <f t="shared" si="48"/>
        <v>36362319.4</v>
      </c>
      <c r="M109" s="30">
        <f t="shared" si="48"/>
        <v>23935796.41</v>
      </c>
      <c r="N109" s="31">
        <f t="shared" si="33"/>
        <v>0.658258241084588</v>
      </c>
      <c r="O109" s="30">
        <f t="shared" si="48"/>
        <v>22936617.16</v>
      </c>
      <c r="P109" s="31">
        <f t="shared" si="34"/>
        <v>0.958255859429747</v>
      </c>
      <c r="Q109" s="30">
        <f t="shared" si="48"/>
        <v>131198218.36</v>
      </c>
      <c r="R109" s="30">
        <f t="shared" si="48"/>
        <v>13032657.71</v>
      </c>
      <c r="S109" s="31">
        <f t="shared" si="35"/>
        <v>0.0993356302616791</v>
      </c>
      <c r="T109" s="30">
        <f t="shared" si="48"/>
        <v>21398947.52</v>
      </c>
    </row>
    <row r="110" spans="1:20">
      <c r="A110" s="24" t="s">
        <v>121</v>
      </c>
      <c r="B110" s="27">
        <f>VLOOKUP(A110,[1]ticket_pivot!$A$6:$V$127,2,FALSE)</f>
        <v>2147288.19</v>
      </c>
      <c r="C110" s="27">
        <f>VLOOKUP(A110,[1]ticket_pivot!$A$6:$V$127,3,FALSE)</f>
        <v>981184.01</v>
      </c>
      <c r="D110" s="28">
        <f t="shared" si="29"/>
        <v>0.456940998683554</v>
      </c>
      <c r="E110" s="27">
        <f>VLOOKUP(A110,[1]ticket_pivot!$A$6:$V$127,4,FALSE)</f>
        <v>975966.62</v>
      </c>
      <c r="F110" s="28">
        <f t="shared" si="30"/>
        <v>0.994682557046562</v>
      </c>
      <c r="G110" s="27">
        <f>VLOOKUP(A110,[1]Sheet12!$A$5:$G$125,2,FALSE)</f>
        <v>10995714.11</v>
      </c>
      <c r="H110" s="27">
        <f>VLOOKUP(A110,[1]NPL!$A$5:$H$119,2,FALSE)</f>
        <v>0</v>
      </c>
      <c r="I110" s="28">
        <f t="shared" si="31"/>
        <v>0</v>
      </c>
      <c r="J110" s="27">
        <f>VLOOKUP(A110,[1]PAR!$A$5:$H$120,2,FALSE)</f>
        <v>0</v>
      </c>
      <c r="K110" s="28">
        <f t="shared" si="32"/>
        <v>0</v>
      </c>
      <c r="L110" s="27">
        <f>VLOOKUP(A110,[1]ticket_pivot!$A$6:$V$127,5,FALSE)</f>
        <v>9149605.97</v>
      </c>
      <c r="M110" s="27">
        <f>VLOOKUP(A110,[1]ticket_pivot!$A$6:$V$127,6,FALSE)</f>
        <v>7731787.18</v>
      </c>
      <c r="N110" s="28">
        <f t="shared" si="33"/>
        <v>0.845040453692892</v>
      </c>
      <c r="O110" s="27">
        <f>VLOOKUP(A110,[1]ticket_pivot!$A$6:$V$127,7,FALSE)</f>
        <v>7570516.32</v>
      </c>
      <c r="P110" s="28">
        <f t="shared" si="34"/>
        <v>0.979141839235156</v>
      </c>
      <c r="Q110" s="27">
        <f>VLOOKUP(A110,[1]Sheet12!$A$5:$G$125,3,FALSE)</f>
        <v>9564454.93</v>
      </c>
      <c r="R110" s="27">
        <f>VLOOKUP(A110,[1]NPL!$A$5:$H$119,3,FALSE)</f>
        <v>559373.11</v>
      </c>
      <c r="S110" s="28">
        <f t="shared" si="35"/>
        <v>0.0584845779601577</v>
      </c>
      <c r="T110" s="27">
        <f>VLOOKUP(A110,[1]PAR!$A$5:$H$120,3,FALSE)</f>
        <v>1386290.36</v>
      </c>
    </row>
    <row r="111" spans="1:20">
      <c r="A111" s="24" t="s">
        <v>122</v>
      </c>
      <c r="B111" s="27">
        <f>VLOOKUP(A111,[1]ticket_pivot!$A$6:$V$127,2,FALSE)</f>
        <v>3375396.32</v>
      </c>
      <c r="C111" s="27">
        <f>VLOOKUP(A111,[1]ticket_pivot!$A$6:$V$127,3,FALSE)</f>
        <v>2019703.4</v>
      </c>
      <c r="D111" s="28">
        <f t="shared" si="29"/>
        <v>0.598360372686547</v>
      </c>
      <c r="E111" s="27">
        <f>VLOOKUP(A111,[1]ticket_pivot!$A$6:$V$127,4,FALSE)</f>
        <v>2016615.87</v>
      </c>
      <c r="F111" s="28">
        <f t="shared" si="30"/>
        <v>0.998471295339702</v>
      </c>
      <c r="G111" s="27">
        <f>VLOOKUP(A111,[1]Sheet12!$A$5:$G$125,2,FALSE)</f>
        <v>24550445.91</v>
      </c>
      <c r="H111" s="27">
        <f>VLOOKUP(A111,[1]NPL!$A$5:$H$119,2,FALSE)</f>
        <v>1268144.02</v>
      </c>
      <c r="I111" s="28">
        <f t="shared" si="31"/>
        <v>0.0516546226756498</v>
      </c>
      <c r="J111" s="27">
        <f>VLOOKUP(A111,[1]PAR!$A$5:$H$120,2,FALSE)</f>
        <v>2006743.72</v>
      </c>
      <c r="K111" s="28">
        <f t="shared" si="32"/>
        <v>0.0817396037268147</v>
      </c>
      <c r="L111" s="27">
        <f>VLOOKUP(A111,[1]ticket_pivot!$A$6:$V$127,5,FALSE)</f>
        <v>15569104.05</v>
      </c>
      <c r="M111" s="27">
        <f>VLOOKUP(A111,[1]ticket_pivot!$A$6:$V$127,6,FALSE)</f>
        <v>11592431.44</v>
      </c>
      <c r="N111" s="28">
        <f t="shared" si="33"/>
        <v>0.744579225803299</v>
      </c>
      <c r="O111" s="27">
        <f>VLOOKUP(A111,[1]ticket_pivot!$A$6:$V$127,7,FALSE)</f>
        <v>11301950.34</v>
      </c>
      <c r="P111" s="28">
        <f t="shared" si="34"/>
        <v>0.974942176582759</v>
      </c>
      <c r="Q111" s="27">
        <f>VLOOKUP(A111,[1]Sheet12!$A$5:$G$125,3,FALSE)</f>
        <v>35336393.22</v>
      </c>
      <c r="R111" s="27">
        <f>VLOOKUP(A111,[1]NPL!$A$5:$H$119,3,FALSE)</f>
        <v>1580129.62</v>
      </c>
      <c r="S111" s="28">
        <f t="shared" si="35"/>
        <v>0.0447167771244311</v>
      </c>
      <c r="T111" s="27">
        <f>VLOOKUP(A111,[1]PAR!$A$5:$H$120,3,FALSE)</f>
        <v>5257265.02</v>
      </c>
    </row>
    <row r="112" spans="1:20">
      <c r="A112" s="29" t="s">
        <v>123</v>
      </c>
      <c r="B112" s="30">
        <f>SUM(B110:B111)</f>
        <v>5522684.51</v>
      </c>
      <c r="C112" s="30">
        <f t="shared" ref="C112:T112" si="49">SUM(C110:C111)</f>
        <v>3000887.41</v>
      </c>
      <c r="D112" s="31">
        <f t="shared" si="29"/>
        <v>0.543374767210811</v>
      </c>
      <c r="E112" s="30">
        <f t="shared" si="49"/>
        <v>2992582.49</v>
      </c>
      <c r="F112" s="31">
        <f t="shared" si="30"/>
        <v>0.997232511965519</v>
      </c>
      <c r="G112" s="30">
        <f t="shared" si="49"/>
        <v>35546160.02</v>
      </c>
      <c r="H112" s="30">
        <f t="shared" si="49"/>
        <v>1268144.02</v>
      </c>
      <c r="I112" s="31">
        <f t="shared" si="31"/>
        <v>0.0356759779195975</v>
      </c>
      <c r="J112" s="30">
        <f t="shared" si="49"/>
        <v>2006743.72</v>
      </c>
      <c r="K112" s="31">
        <f t="shared" si="32"/>
        <v>0.056454585217388</v>
      </c>
      <c r="L112" s="30">
        <f t="shared" si="49"/>
        <v>24718710.02</v>
      </c>
      <c r="M112" s="30">
        <f t="shared" si="49"/>
        <v>19324218.62</v>
      </c>
      <c r="N112" s="31">
        <f t="shared" si="33"/>
        <v>0.781764849555851</v>
      </c>
      <c r="O112" s="30">
        <f t="shared" si="49"/>
        <v>18872466.66</v>
      </c>
      <c r="P112" s="31">
        <f t="shared" si="34"/>
        <v>0.976622497970891</v>
      </c>
      <c r="Q112" s="30">
        <f t="shared" si="49"/>
        <v>44900848.15</v>
      </c>
      <c r="R112" s="30">
        <f t="shared" si="49"/>
        <v>2139502.73</v>
      </c>
      <c r="S112" s="31">
        <f t="shared" si="35"/>
        <v>0.0476494947902226</v>
      </c>
      <c r="T112" s="30">
        <f t="shared" si="49"/>
        <v>6643555.38</v>
      </c>
    </row>
    <row r="113" spans="1:20">
      <c r="A113" s="32" t="s">
        <v>124</v>
      </c>
      <c r="B113" s="33">
        <f>SUM(B112,B109,B104)</f>
        <v>14100012.23</v>
      </c>
      <c r="C113" s="33">
        <f t="shared" ref="C113:T113" si="50">SUM(C112,C109,C104)</f>
        <v>8010476.3</v>
      </c>
      <c r="D113" s="34">
        <f t="shared" si="29"/>
        <v>0.568118393752627</v>
      </c>
      <c r="E113" s="33">
        <f t="shared" si="50"/>
        <v>7842735.65</v>
      </c>
      <c r="F113" s="34">
        <f t="shared" si="30"/>
        <v>0.979059840673894</v>
      </c>
      <c r="G113" s="33">
        <f t="shared" si="50"/>
        <v>92393546.16</v>
      </c>
      <c r="H113" s="33">
        <f t="shared" si="50"/>
        <v>3262885.98</v>
      </c>
      <c r="I113" s="34">
        <f t="shared" si="31"/>
        <v>0.0353150854752299</v>
      </c>
      <c r="J113" s="33">
        <f t="shared" si="50"/>
        <v>5649789.88</v>
      </c>
      <c r="K113" s="34">
        <f t="shared" si="32"/>
        <v>0.0611491831931219</v>
      </c>
      <c r="L113" s="33">
        <f t="shared" si="50"/>
        <v>99348667.29</v>
      </c>
      <c r="M113" s="33">
        <f t="shared" si="50"/>
        <v>65534246.83</v>
      </c>
      <c r="N113" s="34">
        <f t="shared" si="33"/>
        <v>0.659638912303722</v>
      </c>
      <c r="O113" s="33">
        <f t="shared" si="50"/>
        <v>63283729.34</v>
      </c>
      <c r="P113" s="34">
        <f t="shared" si="34"/>
        <v>0.965658909671488</v>
      </c>
      <c r="Q113" s="33">
        <f t="shared" si="50"/>
        <v>387434582.07</v>
      </c>
      <c r="R113" s="33">
        <f t="shared" si="50"/>
        <v>25868731.69</v>
      </c>
      <c r="S113" s="34">
        <f t="shared" si="35"/>
        <v>0.066769289286949</v>
      </c>
      <c r="T113" s="33">
        <f t="shared" si="50"/>
        <v>52784996.72</v>
      </c>
    </row>
    <row r="114" spans="1:20">
      <c r="A114" s="35" t="s">
        <v>125</v>
      </c>
      <c r="B114" s="36">
        <f>SUM(B113,B99,B90)</f>
        <v>47949453.47</v>
      </c>
      <c r="C114" s="36">
        <f t="shared" ref="C114:T114" si="51">SUM(C113,C99,C90)</f>
        <v>24585941.37</v>
      </c>
      <c r="D114" s="37">
        <f t="shared" si="29"/>
        <v>0.512747061556862</v>
      </c>
      <c r="E114" s="36">
        <f t="shared" si="51"/>
        <v>23876470.26</v>
      </c>
      <c r="F114" s="37">
        <f t="shared" si="30"/>
        <v>0.971143219642356</v>
      </c>
      <c r="G114" s="36">
        <f t="shared" si="51"/>
        <v>295842336.87</v>
      </c>
      <c r="H114" s="36">
        <f t="shared" si="51"/>
        <v>18032948.5</v>
      </c>
      <c r="I114" s="37">
        <f t="shared" si="31"/>
        <v>0.0609545905119188</v>
      </c>
      <c r="J114" s="36">
        <f t="shared" si="51"/>
        <v>27849243.36</v>
      </c>
      <c r="K114" s="37">
        <f t="shared" si="32"/>
        <v>0.094135422450498</v>
      </c>
      <c r="L114" s="36">
        <f t="shared" si="51"/>
        <v>292601084.71</v>
      </c>
      <c r="M114" s="36">
        <f t="shared" si="51"/>
        <v>193784137.6</v>
      </c>
      <c r="N114" s="37">
        <f t="shared" si="33"/>
        <v>0.662280995274032</v>
      </c>
      <c r="O114" s="36">
        <f t="shared" si="51"/>
        <v>186830268.55</v>
      </c>
      <c r="P114" s="37">
        <f t="shared" si="34"/>
        <v>0.964115385623802</v>
      </c>
      <c r="Q114" s="36">
        <f t="shared" si="51"/>
        <v>1325530906.41</v>
      </c>
      <c r="R114" s="36">
        <f t="shared" si="51"/>
        <v>64047504.5</v>
      </c>
      <c r="S114" s="37">
        <f t="shared" si="35"/>
        <v>0.0483183788399646</v>
      </c>
      <c r="T114" s="36">
        <f t="shared" si="51"/>
        <v>122910423.2</v>
      </c>
    </row>
    <row r="115" spans="1:20">
      <c r="A115" s="24" t="s">
        <v>126</v>
      </c>
      <c r="B115" s="27">
        <f>VLOOKUP(A115,[1]ticket_pivot!$A$6:$V$127,2,FALSE)</f>
        <v>1841950</v>
      </c>
      <c r="C115" s="27">
        <f>VLOOKUP(A115,[1]ticket_pivot!$A$6:$V$127,3,FALSE)</f>
        <v>911860.9</v>
      </c>
      <c r="D115" s="28">
        <f t="shared" si="29"/>
        <v>0.495051928662559</v>
      </c>
      <c r="E115" s="27">
        <f>VLOOKUP(A115,[1]ticket_pivot!$A$6:$V$127,4,FALSE)</f>
        <v>910939.76</v>
      </c>
      <c r="F115" s="28">
        <f t="shared" si="30"/>
        <v>0.998989823996182</v>
      </c>
      <c r="G115" s="27">
        <f>VLOOKUP(A115,[1]Sheet12!$A$5:$G$125,2,FALSE)</f>
        <v>20229214.02</v>
      </c>
      <c r="H115" s="27">
        <f>VLOOKUP(A115,[1]NPL!$A$5:$H$119,2,FALSE)</f>
        <v>1003731.66</v>
      </c>
      <c r="I115" s="28">
        <f t="shared" si="31"/>
        <v>0.0496179267769693</v>
      </c>
      <c r="J115" s="27">
        <f>VLOOKUP(A115,[1]PAR!$A$5:$H$120,2,FALSE)</f>
        <v>1003731.66</v>
      </c>
      <c r="K115" s="28">
        <f t="shared" si="32"/>
        <v>0.0496179267769693</v>
      </c>
      <c r="L115" s="27">
        <f>VLOOKUP(A115,[1]ticket_pivot!$A$6:$V$127,5,FALSE)</f>
        <v>13418213.37</v>
      </c>
      <c r="M115" s="27">
        <f>VLOOKUP(A115,[1]ticket_pivot!$A$6:$V$127,6,FALSE)</f>
        <v>9225886.01000001</v>
      </c>
      <c r="N115" s="28">
        <f t="shared" si="33"/>
        <v>0.687564413800941</v>
      </c>
      <c r="O115" s="27">
        <f>VLOOKUP(A115,[1]ticket_pivot!$A$6:$V$127,7,FALSE)</f>
        <v>8879000.42</v>
      </c>
      <c r="P115" s="28">
        <f t="shared" si="34"/>
        <v>0.962400837206962</v>
      </c>
      <c r="Q115" s="27">
        <f>VLOOKUP(A115,[1]Sheet12!$A$5:$G$125,3,FALSE)</f>
        <v>11588580.23</v>
      </c>
      <c r="R115" s="27">
        <f>VLOOKUP(A115,[1]NPL!$A$5:$H$119,3,FALSE)</f>
        <v>2400445.66</v>
      </c>
      <c r="S115" s="28">
        <f t="shared" si="35"/>
        <v>0.207138891249666</v>
      </c>
      <c r="T115" s="27">
        <f>VLOOKUP(A115,[1]PAR!$A$5:$H$120,3,FALSE)</f>
        <v>4772549.86</v>
      </c>
    </row>
    <row r="116" spans="1:20">
      <c r="A116" s="24" t="s">
        <v>127</v>
      </c>
      <c r="B116" s="27">
        <f>VLOOKUP(A116,[1]ticket_pivot!$A$6:$V$127,2,FALSE)</f>
        <v>729236.33</v>
      </c>
      <c r="C116" s="27">
        <f>VLOOKUP(A116,[1]ticket_pivot!$A$6:$V$127,3,FALSE)</f>
        <v>556561.57</v>
      </c>
      <c r="D116" s="28">
        <f t="shared" si="29"/>
        <v>0.763211522936604</v>
      </c>
      <c r="E116" s="27">
        <f>VLOOKUP(A116,[1]ticket_pivot!$A$6:$V$127,4,FALSE)</f>
        <v>555380.24</v>
      </c>
      <c r="F116" s="28">
        <f t="shared" si="30"/>
        <v>0.997877449569506</v>
      </c>
      <c r="G116" s="27">
        <f>VLOOKUP(A116,[1]Sheet12!$A$5:$G$125,2,FALSE)</f>
        <v>9993354.77</v>
      </c>
      <c r="H116" s="27">
        <f>VLOOKUP(A116,[1]NPL!$A$5:$H$119,2,FALSE)</f>
        <v>0</v>
      </c>
      <c r="I116" s="28">
        <f t="shared" si="31"/>
        <v>0</v>
      </c>
      <c r="J116" s="27">
        <f>VLOOKUP(A116,[1]PAR!$A$5:$H$120,2,FALSE)</f>
        <v>388917.14</v>
      </c>
      <c r="K116" s="28">
        <f t="shared" si="32"/>
        <v>0.0389175756241065</v>
      </c>
      <c r="L116" s="27">
        <f>VLOOKUP(A116,[1]ticket_pivot!$A$6:$V$127,5,FALSE)</f>
        <v>7464025.71</v>
      </c>
      <c r="M116" s="27">
        <f>VLOOKUP(A116,[1]ticket_pivot!$A$6:$V$127,6,FALSE)</f>
        <v>6022285.27</v>
      </c>
      <c r="N116" s="28">
        <f t="shared" si="33"/>
        <v>0.806841442404409</v>
      </c>
      <c r="O116" s="27">
        <f>VLOOKUP(A116,[1]ticket_pivot!$A$6:$V$127,7,FALSE)</f>
        <v>5934799.92</v>
      </c>
      <c r="P116" s="28">
        <f t="shared" si="34"/>
        <v>0.985473064446846</v>
      </c>
      <c r="Q116" s="27">
        <f>VLOOKUP(A116,[1]Sheet12!$A$5:$G$125,3,FALSE)</f>
        <v>66356326.91</v>
      </c>
      <c r="R116" s="27">
        <f>VLOOKUP(A116,[1]NPL!$A$5:$H$119,3,FALSE)</f>
        <v>780363.95</v>
      </c>
      <c r="S116" s="28">
        <f t="shared" si="35"/>
        <v>0.0117602041333364</v>
      </c>
      <c r="T116" s="27">
        <f>VLOOKUP(A116,[1]PAR!$A$5:$H$120,3,FALSE)</f>
        <v>780363.95</v>
      </c>
    </row>
    <row r="117" spans="1:20">
      <c r="A117" s="24" t="s">
        <v>128</v>
      </c>
      <c r="B117" s="27">
        <f>VLOOKUP(A117,[1]ticket_pivot!$A$6:$V$127,2,FALSE)</f>
        <v>984508.54</v>
      </c>
      <c r="C117" s="27">
        <f>VLOOKUP(A117,[1]ticket_pivot!$A$6:$V$127,3,FALSE)</f>
        <v>99193.07</v>
      </c>
      <c r="D117" s="28">
        <f t="shared" si="29"/>
        <v>0.100753894933202</v>
      </c>
      <c r="E117" s="27">
        <f>VLOOKUP(A117,[1]ticket_pivot!$A$6:$V$127,4,FALSE)</f>
        <v>99180.5</v>
      </c>
      <c r="F117" s="28">
        <f t="shared" si="30"/>
        <v>0.999873277437628</v>
      </c>
      <c r="G117" s="27">
        <f>VLOOKUP(A117,[1]Sheet12!$A$5:$G$125,2,FALSE)</f>
        <v>1798733.12</v>
      </c>
      <c r="H117" s="27">
        <f>VLOOKUP(A117,[1]NPL!$A$5:$H$119,2,FALSE)</f>
        <v>740981.15</v>
      </c>
      <c r="I117" s="28">
        <f t="shared" si="31"/>
        <v>0.411946131286002</v>
      </c>
      <c r="J117" s="27">
        <f>VLOOKUP(A117,[1]PAR!$A$5:$H$120,2,FALSE)</f>
        <v>970404.38</v>
      </c>
      <c r="K117" s="28">
        <f t="shared" si="32"/>
        <v>0.539493251783789</v>
      </c>
      <c r="L117" s="27">
        <f>VLOOKUP(A117,[1]ticket_pivot!$A$6:$V$127,5,FALSE)</f>
        <v>19096070.76</v>
      </c>
      <c r="M117" s="27">
        <f>VLOOKUP(A117,[1]ticket_pivot!$A$6:$V$127,6,FALSE)</f>
        <v>7469603.73</v>
      </c>
      <c r="N117" s="28">
        <f t="shared" si="33"/>
        <v>0.391159198343901</v>
      </c>
      <c r="O117" s="27">
        <f>VLOOKUP(A117,[1]ticket_pivot!$A$6:$V$127,7,FALSE)</f>
        <v>6860730.15</v>
      </c>
      <c r="P117" s="28">
        <f t="shared" si="34"/>
        <v>0.918486495132988</v>
      </c>
      <c r="Q117" s="27">
        <f>VLOOKUP(A117,[1]Sheet12!$A$5:$G$125,3,FALSE)</f>
        <v>40284835.5</v>
      </c>
      <c r="R117" s="27">
        <f>VLOOKUP(A117,[1]NPL!$A$5:$H$119,3,FALSE)</f>
        <v>10865174.88</v>
      </c>
      <c r="S117" s="28">
        <f t="shared" si="35"/>
        <v>0.269708805935176</v>
      </c>
      <c r="T117" s="27">
        <f>VLOOKUP(A117,[1]PAR!$A$5:$H$120,3,FALSE)</f>
        <v>15471904.54</v>
      </c>
    </row>
    <row r="118" spans="1:20">
      <c r="A118" s="24" t="s">
        <v>129</v>
      </c>
      <c r="B118" s="27">
        <f>VLOOKUP(A118,[1]ticket_pivot!$A$6:$V$127,2,FALSE)</f>
        <v>923991.36</v>
      </c>
      <c r="C118" s="27">
        <f>VLOOKUP(A118,[1]ticket_pivot!$A$6:$V$127,3,FALSE)</f>
        <v>628876.33</v>
      </c>
      <c r="D118" s="28">
        <f t="shared" si="29"/>
        <v>0.680608452875577</v>
      </c>
      <c r="E118" s="27">
        <f>VLOOKUP(A118,[1]ticket_pivot!$A$6:$V$127,4,FALSE)</f>
        <v>628241.57</v>
      </c>
      <c r="F118" s="28">
        <f t="shared" si="30"/>
        <v>0.998990644154154</v>
      </c>
      <c r="G118" s="27">
        <f>VLOOKUP(A118,[1]Sheet12!$A$5:$G$125,2,FALSE)</f>
        <v>13557394.53</v>
      </c>
      <c r="H118" s="27">
        <f>VLOOKUP(A118,[1]NPL!$A$5:$H$119,2,FALSE)</f>
        <v>0</v>
      </c>
      <c r="I118" s="28">
        <f t="shared" si="31"/>
        <v>0</v>
      </c>
      <c r="J118" s="27">
        <f>VLOOKUP(A118,[1]PAR!$A$5:$H$120,2,FALSE)</f>
        <v>0</v>
      </c>
      <c r="K118" s="28">
        <f t="shared" si="32"/>
        <v>0</v>
      </c>
      <c r="L118" s="27">
        <f>VLOOKUP(A118,[1]ticket_pivot!$A$6:$V$127,5,FALSE)</f>
        <v>11723449.66</v>
      </c>
      <c r="M118" s="27">
        <f>VLOOKUP(A118,[1]ticket_pivot!$A$6:$V$127,6,FALSE)</f>
        <v>10660361.58</v>
      </c>
      <c r="N118" s="28">
        <f t="shared" si="33"/>
        <v>0.909319516794854</v>
      </c>
      <c r="O118" s="27">
        <f>VLOOKUP(A118,[1]ticket_pivot!$A$6:$V$127,7,FALSE)</f>
        <v>10238072.85</v>
      </c>
      <c r="P118" s="28">
        <f t="shared" si="34"/>
        <v>0.960387016253533</v>
      </c>
      <c r="Q118" s="27">
        <f>VLOOKUP(A118,[1]Sheet12!$A$5:$G$125,3,FALSE)</f>
        <v>87383524.24</v>
      </c>
      <c r="R118" s="27">
        <f>VLOOKUP(A118,[1]NPL!$A$5:$H$119,3,FALSE)</f>
        <v>224644.22</v>
      </c>
      <c r="S118" s="28">
        <f t="shared" si="35"/>
        <v>0.00257078461819658</v>
      </c>
      <c r="T118" s="27">
        <f>VLOOKUP(A118,[1]PAR!$A$5:$H$120,3,FALSE)</f>
        <v>1241221.85</v>
      </c>
    </row>
    <row r="119" spans="1:20">
      <c r="A119" s="29" t="s">
        <v>130</v>
      </c>
      <c r="B119" s="30">
        <f>SUM(B115:B118)</f>
        <v>4479686.23</v>
      </c>
      <c r="C119" s="30">
        <f t="shared" ref="C119:T119" si="52">SUM(C115:C118)</f>
        <v>2196491.87</v>
      </c>
      <c r="D119" s="31">
        <f t="shared" si="29"/>
        <v>0.490322705034634</v>
      </c>
      <c r="E119" s="30">
        <f t="shared" si="52"/>
        <v>2193742.07</v>
      </c>
      <c r="F119" s="31">
        <f t="shared" si="30"/>
        <v>0.998748094615074</v>
      </c>
      <c r="G119" s="30">
        <f t="shared" si="52"/>
        <v>45578696.44</v>
      </c>
      <c r="H119" s="30">
        <f t="shared" si="52"/>
        <v>1744712.81</v>
      </c>
      <c r="I119" s="31">
        <f t="shared" si="31"/>
        <v>0.0382791292045122</v>
      </c>
      <c r="J119" s="30">
        <f t="shared" si="52"/>
        <v>2363053.18</v>
      </c>
      <c r="K119" s="31">
        <f t="shared" si="32"/>
        <v>0.0518455630496307</v>
      </c>
      <c r="L119" s="30">
        <f t="shared" si="52"/>
        <v>51701759.5</v>
      </c>
      <c r="M119" s="30">
        <f t="shared" si="52"/>
        <v>33378136.59</v>
      </c>
      <c r="N119" s="31">
        <f t="shared" si="33"/>
        <v>0.645589955018842</v>
      </c>
      <c r="O119" s="30">
        <f t="shared" si="52"/>
        <v>31912603.34</v>
      </c>
      <c r="P119" s="31">
        <f t="shared" si="34"/>
        <v>0.956093017773824</v>
      </c>
      <c r="Q119" s="30">
        <f t="shared" si="52"/>
        <v>205613266.88</v>
      </c>
      <c r="R119" s="30">
        <f t="shared" si="52"/>
        <v>14270628.71</v>
      </c>
      <c r="S119" s="31">
        <f t="shared" si="35"/>
        <v>0.0694051941615646</v>
      </c>
      <c r="T119" s="30">
        <f t="shared" si="52"/>
        <v>22266040.2</v>
      </c>
    </row>
    <row r="120" spans="1:20">
      <c r="A120" s="24" t="s">
        <v>131</v>
      </c>
      <c r="B120" s="27">
        <f>VLOOKUP(A120,[1]ticket_pivot!$A$6:$V$127,2,FALSE)</f>
        <v>1027526.26</v>
      </c>
      <c r="C120" s="27">
        <f>VLOOKUP(A120,[1]ticket_pivot!$A$6:$V$127,3,FALSE)</f>
        <v>27536.78</v>
      </c>
      <c r="D120" s="28">
        <f t="shared" si="29"/>
        <v>0.0267991009786942</v>
      </c>
      <c r="E120" s="27">
        <f>VLOOKUP(A120,[1]ticket_pivot!$A$6:$V$127,4,FALSE)</f>
        <v>27536.78</v>
      </c>
      <c r="F120" s="28">
        <f t="shared" si="30"/>
        <v>1</v>
      </c>
      <c r="G120" s="27">
        <f>VLOOKUP(A120,[1]Sheet12!$A$5:$G$125,2,FALSE)</f>
        <v>1738500.91</v>
      </c>
      <c r="H120" s="27">
        <f>VLOOKUP(A120,[1]NPL!$A$5:$H$119,2,FALSE)</f>
        <v>852086.38</v>
      </c>
      <c r="I120" s="28">
        <f t="shared" si="31"/>
        <v>0.490127083108631</v>
      </c>
      <c r="J120" s="27">
        <f>VLOOKUP(A120,[1]PAR!$A$5:$H$120,2,FALSE)</f>
        <v>852086.38</v>
      </c>
      <c r="K120" s="28">
        <f t="shared" si="32"/>
        <v>0.490127083108631</v>
      </c>
      <c r="L120" s="27">
        <f>VLOOKUP(A120,[1]ticket_pivot!$A$6:$V$127,5,FALSE)</f>
        <v>17637105.54</v>
      </c>
      <c r="M120" s="27">
        <f>VLOOKUP(A120,[1]ticket_pivot!$A$6:$V$127,6,FALSE)</f>
        <v>7027276.37</v>
      </c>
      <c r="N120" s="28">
        <f t="shared" si="33"/>
        <v>0.39843705386139</v>
      </c>
      <c r="O120" s="27">
        <f>VLOOKUP(A120,[1]ticket_pivot!$A$6:$V$127,7,FALSE)</f>
        <v>6914181.71</v>
      </c>
      <c r="P120" s="28">
        <f t="shared" si="34"/>
        <v>0.983906330981544</v>
      </c>
      <c r="Q120" s="27">
        <f>VLOOKUP(A120,[1]Sheet12!$A$5:$G$125,3,FALSE)</f>
        <v>137677494.02</v>
      </c>
      <c r="R120" s="27">
        <f>VLOOKUP(A120,[1]NPL!$A$5:$H$119,3,FALSE)</f>
        <v>9378538.19</v>
      </c>
      <c r="S120" s="28">
        <f t="shared" si="35"/>
        <v>0.0681196172021958</v>
      </c>
      <c r="T120" s="27">
        <f>VLOOKUP(A120,[1]PAR!$A$5:$H$120,3,FALSE)</f>
        <v>11130359.4</v>
      </c>
    </row>
    <row r="121" spans="1:20">
      <c r="A121" s="24" t="s">
        <v>132</v>
      </c>
      <c r="B121" s="27">
        <f>VLOOKUP(A121,[1]ticket_pivot!$A$6:$V$127,2,FALSE)</f>
        <v>2039478.08</v>
      </c>
      <c r="C121" s="27">
        <f>VLOOKUP(A121,[1]ticket_pivot!$A$6:$V$127,3,FALSE)</f>
        <v>983879.69</v>
      </c>
      <c r="D121" s="28">
        <f t="shared" si="29"/>
        <v>0.482417388864508</v>
      </c>
      <c r="E121" s="27">
        <f>VLOOKUP(A121,[1]ticket_pivot!$A$6:$V$127,4,FALSE)</f>
        <v>983186.68</v>
      </c>
      <c r="F121" s="28">
        <f t="shared" si="30"/>
        <v>0.999295635424693</v>
      </c>
      <c r="G121" s="27">
        <f>VLOOKUP(A121,[1]Sheet12!$A$5:$G$125,2,FALSE)</f>
        <v>13595125.15</v>
      </c>
      <c r="H121" s="27">
        <f>VLOOKUP(A121,[1]NPL!$A$5:$H$119,2,FALSE)</f>
        <v>602659.85</v>
      </c>
      <c r="I121" s="28">
        <f t="shared" si="31"/>
        <v>0.0443291138073856</v>
      </c>
      <c r="J121" s="27">
        <f>VLOOKUP(A121,[1]PAR!$A$5:$H$120,2,FALSE)</f>
        <v>803716.68</v>
      </c>
      <c r="K121" s="28">
        <f t="shared" si="32"/>
        <v>0.0591180052505806</v>
      </c>
      <c r="L121" s="27">
        <f>VLOOKUP(A121,[1]ticket_pivot!$A$6:$V$127,5,FALSE)</f>
        <v>14659413.9</v>
      </c>
      <c r="M121" s="27">
        <f>VLOOKUP(A121,[1]ticket_pivot!$A$6:$V$127,6,FALSE)</f>
        <v>10539842.35</v>
      </c>
      <c r="N121" s="28">
        <f t="shared" si="33"/>
        <v>0.718981155856443</v>
      </c>
      <c r="O121" s="27">
        <f>VLOOKUP(A121,[1]ticket_pivot!$A$6:$V$127,7,FALSE)</f>
        <v>10221984.04</v>
      </c>
      <c r="P121" s="28">
        <f t="shared" si="34"/>
        <v>0.96984221400617</v>
      </c>
      <c r="Q121" s="27">
        <f>VLOOKUP(A121,[1]Sheet12!$A$5:$G$125,3,FALSE)</f>
        <v>74388207.54</v>
      </c>
      <c r="R121" s="27">
        <f>VLOOKUP(A121,[1]NPL!$A$5:$H$119,3,FALSE)</f>
        <v>2565227.78</v>
      </c>
      <c r="S121" s="28">
        <f t="shared" si="35"/>
        <v>0.0344843338054708</v>
      </c>
      <c r="T121" s="27">
        <f>VLOOKUP(A121,[1]PAR!$A$5:$H$120,3,FALSE)</f>
        <v>7808511.66</v>
      </c>
    </row>
    <row r="122" spans="1:20">
      <c r="A122" s="24" t="s">
        <v>133</v>
      </c>
      <c r="B122" s="27">
        <f>VLOOKUP(A122,[1]ticket_pivot!$A$6:$V$127,2,FALSE)</f>
        <v>372946.62</v>
      </c>
      <c r="C122" s="27">
        <f>VLOOKUP(A122,[1]ticket_pivot!$A$6:$V$127,3,FALSE)</f>
        <v>89315.3</v>
      </c>
      <c r="D122" s="28">
        <f t="shared" si="29"/>
        <v>0.239485479181981</v>
      </c>
      <c r="E122" s="27">
        <f>VLOOKUP(A122,[1]ticket_pivot!$A$6:$V$127,4,FALSE)</f>
        <v>89315.3</v>
      </c>
      <c r="F122" s="28">
        <f t="shared" si="30"/>
        <v>1</v>
      </c>
      <c r="G122" s="27">
        <f>VLOOKUP(A122,[1]Sheet12!$A$5:$G$125,2,FALSE)</f>
        <v>2164276.11</v>
      </c>
      <c r="H122" s="27">
        <f>VLOOKUP(A122,[1]NPL!$A$5:$H$119,2,FALSE)</f>
        <v>567247.36</v>
      </c>
      <c r="I122" s="28">
        <f t="shared" si="31"/>
        <v>0.262095652850874</v>
      </c>
      <c r="J122" s="27">
        <f>VLOOKUP(A122,[1]PAR!$A$5:$H$120,2,FALSE)</f>
        <v>567247.36</v>
      </c>
      <c r="K122" s="28">
        <f t="shared" si="32"/>
        <v>0.262095652850874</v>
      </c>
      <c r="L122" s="27">
        <f>VLOOKUP(A122,[1]ticket_pivot!$A$6:$V$127,5,FALSE)</f>
        <v>7541123.98</v>
      </c>
      <c r="M122" s="27">
        <f>VLOOKUP(A122,[1]ticket_pivot!$A$6:$V$127,6,FALSE)</f>
        <v>4246039.97</v>
      </c>
      <c r="N122" s="28">
        <f t="shared" si="33"/>
        <v>0.563051341054865</v>
      </c>
      <c r="O122" s="27">
        <f>VLOOKUP(A122,[1]ticket_pivot!$A$6:$V$127,7,FALSE)</f>
        <v>4188673.8</v>
      </c>
      <c r="P122" s="28">
        <f t="shared" si="34"/>
        <v>0.986489488934321</v>
      </c>
      <c r="Q122" s="27">
        <f>VLOOKUP(A122,[1]Sheet12!$A$5:$G$125,3,FALSE)</f>
        <v>53774969.17</v>
      </c>
      <c r="R122" s="27">
        <f>VLOOKUP(A122,[1]NPL!$A$5:$H$119,3,FALSE)</f>
        <v>3063601.06</v>
      </c>
      <c r="S122" s="28">
        <f t="shared" si="35"/>
        <v>0.0569707636710115</v>
      </c>
      <c r="T122" s="27">
        <f>VLOOKUP(A122,[1]PAR!$A$5:$H$120,3,FALSE)</f>
        <v>6071092.5</v>
      </c>
    </row>
    <row r="123" spans="1:20">
      <c r="A123" s="29" t="s">
        <v>134</v>
      </c>
      <c r="B123" s="30">
        <f>SUM(B120:B122)</f>
        <v>3439950.96</v>
      </c>
      <c r="C123" s="30">
        <f t="shared" ref="C123:T123" si="53">SUM(C120:C122)</f>
        <v>1100731.77</v>
      </c>
      <c r="D123" s="31">
        <f t="shared" si="29"/>
        <v>0.319984727340415</v>
      </c>
      <c r="E123" s="30">
        <f t="shared" si="53"/>
        <v>1100038.76</v>
      </c>
      <c r="F123" s="31">
        <f t="shared" si="30"/>
        <v>0.999370409741149</v>
      </c>
      <c r="G123" s="30">
        <f t="shared" si="53"/>
        <v>17497902.17</v>
      </c>
      <c r="H123" s="30">
        <f t="shared" si="53"/>
        <v>2021993.59</v>
      </c>
      <c r="I123" s="31">
        <f t="shared" si="31"/>
        <v>0.115556343289351</v>
      </c>
      <c r="J123" s="30">
        <f t="shared" si="53"/>
        <v>2223050.42</v>
      </c>
      <c r="K123" s="31">
        <f t="shared" si="32"/>
        <v>0.12704668241953</v>
      </c>
      <c r="L123" s="30">
        <f t="shared" si="53"/>
        <v>39837643.42</v>
      </c>
      <c r="M123" s="30">
        <f t="shared" si="53"/>
        <v>21813158.69</v>
      </c>
      <c r="N123" s="31">
        <f t="shared" si="33"/>
        <v>0.547551431695605</v>
      </c>
      <c r="O123" s="30">
        <f t="shared" si="53"/>
        <v>21324839.55</v>
      </c>
      <c r="P123" s="31">
        <f t="shared" si="34"/>
        <v>0.977613552125128</v>
      </c>
      <c r="Q123" s="30">
        <f t="shared" si="53"/>
        <v>265840670.73</v>
      </c>
      <c r="R123" s="30">
        <f t="shared" si="53"/>
        <v>15007367.03</v>
      </c>
      <c r="S123" s="31">
        <f t="shared" si="35"/>
        <v>0.0564524870810387</v>
      </c>
      <c r="T123" s="30">
        <f t="shared" si="53"/>
        <v>25009963.56</v>
      </c>
    </row>
    <row r="124" spans="1:20">
      <c r="A124" s="24" t="s">
        <v>135</v>
      </c>
      <c r="B124" s="27">
        <f>VLOOKUP(A124,[1]ticket_pivot!$A$6:$V$127,2,FALSE)</f>
        <v>957688.51</v>
      </c>
      <c r="C124" s="27">
        <f>VLOOKUP(A124,[1]ticket_pivot!$A$6:$V$127,3,FALSE)</f>
        <v>27732.26</v>
      </c>
      <c r="D124" s="28">
        <f t="shared" si="29"/>
        <v>0.0289574947495193</v>
      </c>
      <c r="E124" s="27">
        <f>VLOOKUP(A124,[1]ticket_pivot!$A$6:$V$127,4,FALSE)</f>
        <v>27732.26</v>
      </c>
      <c r="F124" s="28">
        <f t="shared" si="30"/>
        <v>1</v>
      </c>
      <c r="G124" s="27">
        <f>VLOOKUP(A124,[1]Sheet12!$A$5:$G$125,2,FALSE)</f>
        <v>1536855.61</v>
      </c>
      <c r="H124" s="27">
        <f>VLOOKUP(A124,[1]NPL!$A$5:$H$119,2,FALSE)</f>
        <v>797104.31</v>
      </c>
      <c r="I124" s="28">
        <f t="shared" si="31"/>
        <v>0.518659205727206</v>
      </c>
      <c r="J124" s="27">
        <f>VLOOKUP(A124,[1]PAR!$A$5:$H$120,2,FALSE)</f>
        <v>1026191.17</v>
      </c>
      <c r="K124" s="28">
        <f t="shared" si="32"/>
        <v>0.667721263678115</v>
      </c>
      <c r="L124" s="27">
        <f>VLOOKUP(A124,[1]ticket_pivot!$A$6:$V$127,5,FALSE)</f>
        <v>21024593.86</v>
      </c>
      <c r="M124" s="27">
        <f>VLOOKUP(A124,[1]ticket_pivot!$A$6:$V$127,6,FALSE)</f>
        <v>8275343.63</v>
      </c>
      <c r="N124" s="28">
        <f t="shared" si="33"/>
        <v>0.393603019639971</v>
      </c>
      <c r="O124" s="27">
        <f>VLOOKUP(A124,[1]ticket_pivot!$A$6:$V$127,7,FALSE)</f>
        <v>7848176.42</v>
      </c>
      <c r="P124" s="28">
        <f t="shared" si="34"/>
        <v>0.94838072845079</v>
      </c>
      <c r="Q124" s="27">
        <f>VLOOKUP(A124,[1]Sheet12!$A$5:$G$125,3,FALSE)</f>
        <v>55953398.71</v>
      </c>
      <c r="R124" s="27">
        <f>VLOOKUP(A124,[1]NPL!$A$5:$H$119,3,FALSE)</f>
        <v>12983175.54</v>
      </c>
      <c r="S124" s="28">
        <f t="shared" si="35"/>
        <v>0.232035512396491</v>
      </c>
      <c r="T124" s="27">
        <f>VLOOKUP(A124,[1]PAR!$A$5:$H$120,3,FALSE)</f>
        <v>20301295.25</v>
      </c>
    </row>
    <row r="125" spans="1:20">
      <c r="A125" s="24" t="s">
        <v>136</v>
      </c>
      <c r="B125" s="27">
        <f>VLOOKUP(A125,[1]ticket_pivot!$A$6:$V$127,2,FALSE)</f>
        <v>154908.96</v>
      </c>
      <c r="C125" s="27">
        <f>VLOOKUP(A125,[1]ticket_pivot!$A$6:$V$127,3,FALSE)</f>
        <v>21000</v>
      </c>
      <c r="D125" s="28">
        <f t="shared" si="29"/>
        <v>0.13556349484239</v>
      </c>
      <c r="E125" s="27">
        <f>VLOOKUP(A125,[1]ticket_pivot!$A$6:$V$127,4,FALSE)</f>
        <v>21000</v>
      </c>
      <c r="F125" s="28">
        <f t="shared" si="30"/>
        <v>1</v>
      </c>
      <c r="G125" s="27">
        <f>VLOOKUP(A125,[1]Sheet12!$A$5:$G$125,2,FALSE)</f>
        <v>542321.66</v>
      </c>
      <c r="H125" s="27">
        <f>VLOOKUP(A125,[1]NPL!$A$5:$H$119,2,FALSE)</f>
        <v>187158.41</v>
      </c>
      <c r="I125" s="28">
        <f t="shared" si="31"/>
        <v>0.345105910023951</v>
      </c>
      <c r="J125" s="27">
        <f>VLOOKUP(A125,[1]PAR!$A$5:$H$120,2,FALSE)</f>
        <v>187158.41</v>
      </c>
      <c r="K125" s="28">
        <f t="shared" si="32"/>
        <v>0.345105910023951</v>
      </c>
      <c r="L125" s="27">
        <f>VLOOKUP(A125,[1]ticket_pivot!$A$6:$V$127,5,FALSE)</f>
        <v>7708599.25</v>
      </c>
      <c r="M125" s="27">
        <f>VLOOKUP(A125,[1]ticket_pivot!$A$6:$V$127,6,FALSE)</f>
        <v>3455064.93</v>
      </c>
      <c r="N125" s="28">
        <f t="shared" si="33"/>
        <v>0.448209177562318</v>
      </c>
      <c r="O125" s="27">
        <f>VLOOKUP(A125,[1]ticket_pivot!$A$6:$V$127,7,FALSE)</f>
        <v>3319676.59</v>
      </c>
      <c r="P125" s="28">
        <f t="shared" si="34"/>
        <v>0.960814530915342</v>
      </c>
      <c r="Q125" s="27">
        <f>VLOOKUP(A125,[1]Sheet12!$A$5:$G$125,3,FALSE)</f>
        <v>84811968.03</v>
      </c>
      <c r="R125" s="27">
        <f>VLOOKUP(A125,[1]NPL!$A$5:$H$119,3,FALSE)</f>
        <v>4163021.49</v>
      </c>
      <c r="S125" s="28">
        <f t="shared" si="35"/>
        <v>0.0490853070232664</v>
      </c>
      <c r="T125" s="27">
        <f>VLOOKUP(A125,[1]PAR!$A$5:$H$120,3,FALSE)</f>
        <v>5497022.35</v>
      </c>
    </row>
    <row r="126" spans="1:20">
      <c r="A126" s="24" t="s">
        <v>137</v>
      </c>
      <c r="B126" s="27">
        <f>VLOOKUP(A126,[1]ticket_pivot!$A$6:$V$127,2,FALSE)</f>
        <v>658484.57</v>
      </c>
      <c r="C126" s="27">
        <f>VLOOKUP(A126,[1]ticket_pivot!$A$6:$V$127,3,FALSE)</f>
        <v>255297.1</v>
      </c>
      <c r="D126" s="28">
        <f t="shared" si="29"/>
        <v>0.387703997376886</v>
      </c>
      <c r="E126" s="27">
        <f>VLOOKUP(A126,[1]ticket_pivot!$A$6:$V$127,4,FALSE)</f>
        <v>195608.52</v>
      </c>
      <c r="F126" s="28">
        <f t="shared" si="30"/>
        <v>0.766199537715078</v>
      </c>
      <c r="G126" s="27">
        <f>VLOOKUP(A126,[1]Sheet12!$A$5:$G$125,2,FALSE)</f>
        <v>6035712.42</v>
      </c>
      <c r="H126" s="27">
        <f>VLOOKUP(A126,[1]NPL!$A$5:$H$119,2,FALSE)</f>
        <v>0</v>
      </c>
      <c r="I126" s="28">
        <f t="shared" si="31"/>
        <v>0</v>
      </c>
      <c r="J126" s="27">
        <f>VLOOKUP(A126,[1]PAR!$A$5:$H$120,2,FALSE)</f>
        <v>130940.97</v>
      </c>
      <c r="K126" s="28">
        <f t="shared" si="32"/>
        <v>0.02169436859949</v>
      </c>
      <c r="L126" s="27">
        <f>VLOOKUP(A126,[1]ticket_pivot!$A$6:$V$127,5,FALSE)</f>
        <v>9106352.78</v>
      </c>
      <c r="M126" s="27">
        <f>VLOOKUP(A126,[1]ticket_pivot!$A$6:$V$127,6,FALSE)</f>
        <v>4608840.32</v>
      </c>
      <c r="N126" s="28">
        <f t="shared" si="33"/>
        <v>0.506112648097958</v>
      </c>
      <c r="O126" s="27">
        <f>VLOOKUP(A126,[1]ticket_pivot!$A$6:$V$127,7,FALSE)</f>
        <v>4516704.41</v>
      </c>
      <c r="P126" s="28">
        <f t="shared" si="34"/>
        <v>0.98000887346863</v>
      </c>
      <c r="Q126" s="27">
        <f>VLOOKUP(A126,[1]Sheet12!$A$5:$G$125,3,FALSE)</f>
        <v>101786878.3</v>
      </c>
      <c r="R126" s="27">
        <f>VLOOKUP(A126,[1]NPL!$A$5:$H$119,3,FALSE)</f>
        <v>4968237.17</v>
      </c>
      <c r="S126" s="28">
        <f t="shared" si="35"/>
        <v>0.0488101929539183</v>
      </c>
      <c r="T126" s="27">
        <f>VLOOKUP(A126,[1]PAR!$A$5:$H$120,3,FALSE)</f>
        <v>4968237.17</v>
      </c>
    </row>
    <row r="127" spans="1:20">
      <c r="A127" s="29" t="s">
        <v>138</v>
      </c>
      <c r="B127" s="30">
        <f>SUM(B124:B126)</f>
        <v>1771082.04</v>
      </c>
      <c r="C127" s="30">
        <f t="shared" ref="C127:T127" si="54">SUM(C124:C126)</f>
        <v>304029.36</v>
      </c>
      <c r="D127" s="31">
        <f t="shared" si="29"/>
        <v>0.171663058589878</v>
      </c>
      <c r="E127" s="30">
        <f t="shared" si="54"/>
        <v>244340.78</v>
      </c>
      <c r="F127" s="31">
        <f t="shared" si="30"/>
        <v>0.803674947708998</v>
      </c>
      <c r="G127" s="30">
        <f t="shared" si="54"/>
        <v>8114889.69</v>
      </c>
      <c r="H127" s="30">
        <f t="shared" si="54"/>
        <v>984262.72</v>
      </c>
      <c r="I127" s="31">
        <f t="shared" si="31"/>
        <v>0.12129095497292</v>
      </c>
      <c r="J127" s="30">
        <f t="shared" si="54"/>
        <v>1344290.55</v>
      </c>
      <c r="K127" s="31">
        <f t="shared" si="32"/>
        <v>0.165657279563094</v>
      </c>
      <c r="L127" s="30">
        <f t="shared" si="54"/>
        <v>37839545.89</v>
      </c>
      <c r="M127" s="30">
        <f t="shared" si="54"/>
        <v>16339248.88</v>
      </c>
      <c r="N127" s="31">
        <f t="shared" si="33"/>
        <v>0.431803513908396</v>
      </c>
      <c r="O127" s="30">
        <f t="shared" si="54"/>
        <v>15684557.42</v>
      </c>
      <c r="P127" s="31">
        <f t="shared" si="34"/>
        <v>0.959931361300129</v>
      </c>
      <c r="Q127" s="30">
        <f t="shared" si="54"/>
        <v>242552245.04</v>
      </c>
      <c r="R127" s="30">
        <f t="shared" si="54"/>
        <v>22114434.2</v>
      </c>
      <c r="S127" s="31">
        <f t="shared" si="35"/>
        <v>0.0911739002718901</v>
      </c>
      <c r="T127" s="30">
        <f t="shared" si="54"/>
        <v>30766554.77</v>
      </c>
    </row>
    <row r="128" spans="1:20">
      <c r="A128" s="24" t="s">
        <v>139</v>
      </c>
      <c r="B128" s="27">
        <f>VLOOKUP(A128,[1]ticket_pivot!$A$6:$V$127,2,FALSE)</f>
        <v>1003399.6</v>
      </c>
      <c r="C128" s="27">
        <f>VLOOKUP(A128,[1]ticket_pivot!$A$6:$V$127,3,FALSE)</f>
        <v>921780.13</v>
      </c>
      <c r="D128" s="28">
        <f t="shared" si="29"/>
        <v>0.918657063447105</v>
      </c>
      <c r="E128" s="27">
        <f>VLOOKUP(A128,[1]ticket_pivot!$A$6:$V$127,4,FALSE)</f>
        <v>921190.59</v>
      </c>
      <c r="F128" s="28">
        <f t="shared" si="30"/>
        <v>0.999360433165337</v>
      </c>
      <c r="G128" s="27">
        <f>VLOOKUP(A128,[1]Sheet12!$A$5:$G$125,2,FALSE)</f>
        <v>12356127.21</v>
      </c>
      <c r="H128" s="27"/>
      <c r="I128" s="28">
        <f t="shared" si="31"/>
        <v>0</v>
      </c>
      <c r="J128" s="27">
        <f>VLOOKUP(A128,[1]PAR!$A$5:$H$120,2,FALSE)</f>
        <v>0</v>
      </c>
      <c r="K128" s="28">
        <f t="shared" si="32"/>
        <v>0</v>
      </c>
      <c r="L128" s="27">
        <f>VLOOKUP(A128,[1]ticket_pivot!$A$6:$V$127,5,FALSE)</f>
        <v>3893395.17</v>
      </c>
      <c r="M128" s="27">
        <f>VLOOKUP(A128,[1]ticket_pivot!$A$6:$V$127,6,FALSE)</f>
        <v>3139133.43</v>
      </c>
      <c r="N128" s="28">
        <f t="shared" si="33"/>
        <v>0.806271465631884</v>
      </c>
      <c r="O128" s="27">
        <f>VLOOKUP(A128,[1]ticket_pivot!$A$6:$V$127,7,FALSE)</f>
        <v>3136107.97</v>
      </c>
      <c r="P128" s="28">
        <f t="shared" si="34"/>
        <v>0.999036211722928</v>
      </c>
      <c r="Q128" s="27">
        <f>VLOOKUP(A128,[1]Sheet12!$A$5:$G$125,3,FALSE)</f>
        <v>16143081.65</v>
      </c>
      <c r="R128" s="27"/>
      <c r="S128" s="28">
        <f t="shared" si="35"/>
        <v>0</v>
      </c>
      <c r="T128" s="27">
        <f>VLOOKUP(A128,[1]PAR!$A$5:$H$120,3,FALSE)</f>
        <v>1186933.18</v>
      </c>
    </row>
    <row r="129" spans="1:20">
      <c r="A129" s="24" t="s">
        <v>140</v>
      </c>
      <c r="B129" s="27">
        <f>VLOOKUP(A129,[1]ticket_pivot!$A$6:$V$127,2,FALSE)</f>
        <v>3319370.96</v>
      </c>
      <c r="C129" s="27">
        <f>VLOOKUP(A129,[1]ticket_pivot!$A$6:$V$127,3,FALSE)</f>
        <v>2040009.85</v>
      </c>
      <c r="D129" s="28">
        <f t="shared" si="29"/>
        <v>0.61457724206878</v>
      </c>
      <c r="E129" s="27">
        <f>VLOOKUP(A129,[1]ticket_pivot!$A$6:$V$127,4,FALSE)</f>
        <v>1931976.48</v>
      </c>
      <c r="F129" s="28">
        <f t="shared" si="30"/>
        <v>0.94704272138686</v>
      </c>
      <c r="G129" s="27">
        <f>VLOOKUP(A129,[1]Sheet12!$A$5:$G$125,2,FALSE)</f>
        <v>24766178.31</v>
      </c>
      <c r="H129" s="27">
        <f>VLOOKUP(A129,[1]NPL!$A$5:$H$119,2,FALSE)</f>
        <v>792583.16</v>
      </c>
      <c r="I129" s="28">
        <f t="shared" si="31"/>
        <v>0.0320026428817228</v>
      </c>
      <c r="J129" s="27">
        <f>VLOOKUP(A129,[1]PAR!$A$5:$H$120,2,FALSE)</f>
        <v>849795.11</v>
      </c>
      <c r="K129" s="28">
        <f t="shared" si="32"/>
        <v>0.0343127267906681</v>
      </c>
      <c r="L129" s="27">
        <f>VLOOKUP(A129,[1]ticket_pivot!$A$6:$V$127,5,FALSE)</f>
        <v>14447154.53</v>
      </c>
      <c r="M129" s="27">
        <f>VLOOKUP(A129,[1]ticket_pivot!$A$6:$V$127,6,FALSE)</f>
        <v>10582477.7</v>
      </c>
      <c r="N129" s="28">
        <f t="shared" si="33"/>
        <v>0.732495639748653</v>
      </c>
      <c r="O129" s="27">
        <f>VLOOKUP(A129,[1]ticket_pivot!$A$6:$V$127,7,FALSE)</f>
        <v>10237252.49</v>
      </c>
      <c r="P129" s="28">
        <f t="shared" si="34"/>
        <v>0.967377657691639</v>
      </c>
      <c r="Q129" s="27">
        <f>VLOOKUP(A129,[1]Sheet12!$A$5:$G$125,3,FALSE)</f>
        <v>19416002.08</v>
      </c>
      <c r="R129" s="27">
        <f>VLOOKUP(A129,[1]NPL!$A$5:$H$119,3,FALSE)</f>
        <v>1477526.49</v>
      </c>
      <c r="S129" s="28">
        <f t="shared" si="35"/>
        <v>0.0760983895609472</v>
      </c>
      <c r="T129" s="27">
        <f>VLOOKUP(A129,[1]PAR!$A$5:$H$120,3,FALSE)</f>
        <v>4111521.03</v>
      </c>
    </row>
    <row r="130" spans="1:20">
      <c r="A130" s="24" t="s">
        <v>141</v>
      </c>
      <c r="B130" s="27">
        <f>VLOOKUP(A130,[1]ticket_pivot!$A$6:$V$127,2,FALSE)</f>
        <v>3036652.17</v>
      </c>
      <c r="C130" s="27">
        <f>VLOOKUP(A130,[1]ticket_pivot!$A$6:$V$127,3,FALSE)</f>
        <v>1979635.01</v>
      </c>
      <c r="D130" s="28">
        <f t="shared" si="29"/>
        <v>0.651913653317759</v>
      </c>
      <c r="E130" s="27">
        <f>VLOOKUP(A130,[1]ticket_pivot!$A$6:$V$127,4,FALSE)</f>
        <v>1904533.56</v>
      </c>
      <c r="F130" s="28">
        <f t="shared" si="30"/>
        <v>0.962062981498797</v>
      </c>
      <c r="G130" s="27">
        <f>VLOOKUP(A130,[1]Sheet12!$A$5:$G$125,2,FALSE)</f>
        <v>18069454.04</v>
      </c>
      <c r="H130" s="27">
        <f>VLOOKUP(A130,[1]NPL!$A$5:$H$119,2,FALSE)</f>
        <v>872580.33</v>
      </c>
      <c r="I130" s="28">
        <f t="shared" si="31"/>
        <v>0.0482903538794468</v>
      </c>
      <c r="J130" s="27">
        <f>VLOOKUP(A130,[1]PAR!$A$5:$H$120,2,FALSE)</f>
        <v>1128892.82</v>
      </c>
      <c r="K130" s="28">
        <f t="shared" si="32"/>
        <v>0.0624752035950279</v>
      </c>
      <c r="L130" s="27">
        <f>VLOOKUP(A130,[1]ticket_pivot!$A$6:$V$127,5,FALSE)</f>
        <v>9297944.64</v>
      </c>
      <c r="M130" s="27">
        <f>VLOOKUP(A130,[1]ticket_pivot!$A$6:$V$127,6,FALSE)</f>
        <v>6794864</v>
      </c>
      <c r="N130" s="28">
        <f t="shared" si="33"/>
        <v>0.73079204739167</v>
      </c>
      <c r="O130" s="27">
        <f>VLOOKUP(A130,[1]ticket_pivot!$A$6:$V$127,7,FALSE)</f>
        <v>6195349.39</v>
      </c>
      <c r="P130" s="28">
        <f t="shared" si="34"/>
        <v>0.911769446746837</v>
      </c>
      <c r="Q130" s="27">
        <f>VLOOKUP(A130,[1]Sheet12!$A$5:$G$125,3,FALSE)</f>
        <v>14044519.33</v>
      </c>
      <c r="R130" s="27">
        <f>VLOOKUP(A130,[1]NPL!$A$5:$H$119,3,FALSE)</f>
        <v>2086010.44</v>
      </c>
      <c r="S130" s="28">
        <f t="shared" si="35"/>
        <v>0.148528432407377</v>
      </c>
      <c r="T130" s="27">
        <f>VLOOKUP(A130,[1]PAR!$A$5:$H$120,3,FALSE)</f>
        <v>2852545.12</v>
      </c>
    </row>
    <row r="131" spans="1:20">
      <c r="A131" s="29" t="s">
        <v>142</v>
      </c>
      <c r="B131" s="30">
        <f>SUM(B128:B130)</f>
        <v>7359422.73</v>
      </c>
      <c r="C131" s="30">
        <f t="shared" ref="C131:T131" si="55">SUM(C128:C130)</f>
        <v>4941424.99</v>
      </c>
      <c r="D131" s="31">
        <f t="shared" si="29"/>
        <v>0.671441928435058</v>
      </c>
      <c r="E131" s="30">
        <f t="shared" si="55"/>
        <v>4757700.63</v>
      </c>
      <c r="F131" s="31">
        <f t="shared" si="30"/>
        <v>0.962819559060028</v>
      </c>
      <c r="G131" s="30">
        <f t="shared" si="55"/>
        <v>55191759.56</v>
      </c>
      <c r="H131" s="30">
        <f t="shared" si="55"/>
        <v>1665163.49</v>
      </c>
      <c r="I131" s="31">
        <f t="shared" si="31"/>
        <v>0.0301705092078061</v>
      </c>
      <c r="J131" s="30">
        <f t="shared" si="55"/>
        <v>1978687.93</v>
      </c>
      <c r="K131" s="31">
        <f t="shared" si="32"/>
        <v>0.0358511478121826</v>
      </c>
      <c r="L131" s="30">
        <f t="shared" si="55"/>
        <v>27638494.34</v>
      </c>
      <c r="M131" s="30">
        <f t="shared" si="55"/>
        <v>20516475.13</v>
      </c>
      <c r="N131" s="31">
        <f t="shared" si="33"/>
        <v>0.742315224469641</v>
      </c>
      <c r="O131" s="30">
        <f t="shared" si="55"/>
        <v>19568709.85</v>
      </c>
      <c r="P131" s="31">
        <f t="shared" si="34"/>
        <v>0.95380467287901</v>
      </c>
      <c r="Q131" s="30">
        <f t="shared" si="55"/>
        <v>49603603.06</v>
      </c>
      <c r="R131" s="30">
        <f t="shared" si="55"/>
        <v>3563536.93</v>
      </c>
      <c r="S131" s="31">
        <f t="shared" si="35"/>
        <v>0.0718402839747262</v>
      </c>
      <c r="T131" s="30">
        <f t="shared" si="55"/>
        <v>8150999.33</v>
      </c>
    </row>
    <row r="132" spans="1:20">
      <c r="A132" s="32" t="s">
        <v>143</v>
      </c>
      <c r="B132" s="33">
        <f>SUM(B131,B127,B123,B119)</f>
        <v>17050141.96</v>
      </c>
      <c r="C132" s="33">
        <f t="shared" ref="C132:T132" si="56">SUM(C131,C127,C123,C119)</f>
        <v>8542677.99</v>
      </c>
      <c r="D132" s="34">
        <f t="shared" ref="D132:D186" si="57">IFERROR(C132/B132,"")</f>
        <v>0.501032660610176</v>
      </c>
      <c r="E132" s="33">
        <f t="shared" si="56"/>
        <v>8295822.24</v>
      </c>
      <c r="F132" s="34">
        <f t="shared" ref="F132:F186" si="58">IFERROR(E132/C132,"")</f>
        <v>0.971103235977177</v>
      </c>
      <c r="G132" s="33">
        <f t="shared" si="56"/>
        <v>126383247.86</v>
      </c>
      <c r="H132" s="33">
        <f t="shared" si="56"/>
        <v>6416132.61</v>
      </c>
      <c r="I132" s="34">
        <f t="shared" ref="I132:I186" si="59">IFERROR(H132/G132,"")</f>
        <v>0.050767271126846</v>
      </c>
      <c r="J132" s="33">
        <f t="shared" si="56"/>
        <v>7909082.08</v>
      </c>
      <c r="K132" s="34">
        <f t="shared" ref="K132:K186" si="60">IFERROR(J132/G132,"")</f>
        <v>0.0625801458177528</v>
      </c>
      <c r="L132" s="33">
        <f t="shared" si="56"/>
        <v>157017443.15</v>
      </c>
      <c r="M132" s="33">
        <f t="shared" si="56"/>
        <v>92047019.29</v>
      </c>
      <c r="N132" s="34">
        <f t="shared" ref="N132:N186" si="61">IFERROR(M132/L132,"")</f>
        <v>0.586221616168254</v>
      </c>
      <c r="O132" s="33">
        <f t="shared" si="56"/>
        <v>88490710.16</v>
      </c>
      <c r="P132" s="34">
        <f t="shared" ref="P132:P186" si="62">IFERROR(O132/M132,"")</f>
        <v>0.961364211927432</v>
      </c>
      <c r="Q132" s="33">
        <f t="shared" si="56"/>
        <v>763609785.71</v>
      </c>
      <c r="R132" s="33">
        <f t="shared" si="56"/>
        <v>54955966.87</v>
      </c>
      <c r="S132" s="34">
        <f t="shared" ref="S132:S186" si="63">IFERROR(R132/Q132,"")</f>
        <v>0.0719686519193861</v>
      </c>
      <c r="T132" s="33">
        <f t="shared" si="56"/>
        <v>86193557.86</v>
      </c>
    </row>
    <row r="133" spans="1:20">
      <c r="A133" s="24" t="s">
        <v>144</v>
      </c>
      <c r="B133" s="27">
        <f>VLOOKUP(A133,[1]ticket_pivot!$A$6:$V$127,2,FALSE)</f>
        <v>8126674.3</v>
      </c>
      <c r="C133" s="27">
        <f>VLOOKUP(A133,[1]ticket_pivot!$A$6:$V$127,3,FALSE)</f>
        <v>5419092.04</v>
      </c>
      <c r="D133" s="28">
        <f t="shared" si="57"/>
        <v>0.666827762495662</v>
      </c>
      <c r="E133" s="27">
        <f>VLOOKUP(A133,[1]ticket_pivot!$A$6:$V$127,4,FALSE)</f>
        <v>5318590.04</v>
      </c>
      <c r="F133" s="28">
        <f t="shared" si="58"/>
        <v>0.981454088755429</v>
      </c>
      <c r="G133" s="27">
        <f>VLOOKUP(A133,[1]Sheet12!$A$5:$G$125,2,FALSE)</f>
        <v>58456185.38</v>
      </c>
      <c r="H133" s="27">
        <f>VLOOKUP(A133,[1]NPL!$A$5:$H$119,2,FALSE)</f>
        <v>2390137.09</v>
      </c>
      <c r="I133" s="28">
        <f t="shared" si="59"/>
        <v>0.0408876678227066</v>
      </c>
      <c r="J133" s="27">
        <f>VLOOKUP(A133,[1]PAR!$A$5:$H$120,2,FALSE)</f>
        <v>3886181.54</v>
      </c>
      <c r="K133" s="28">
        <f t="shared" si="60"/>
        <v>0.0664802452424411</v>
      </c>
      <c r="L133" s="27">
        <f>VLOOKUP(A133,[1]ticket_pivot!$A$6:$V$127,5,FALSE)</f>
        <v>23910851.71</v>
      </c>
      <c r="M133" s="27">
        <f>VLOOKUP(A133,[1]ticket_pivot!$A$6:$V$127,6,FALSE)</f>
        <v>20326567.58</v>
      </c>
      <c r="N133" s="28">
        <f t="shared" si="61"/>
        <v>0.850098015182747</v>
      </c>
      <c r="O133" s="27">
        <f>VLOOKUP(A133,[1]ticket_pivot!$A$6:$V$127,7,FALSE)</f>
        <v>20091857.72</v>
      </c>
      <c r="P133" s="28">
        <f t="shared" si="62"/>
        <v>0.988453049976282</v>
      </c>
      <c r="Q133" s="27">
        <f>VLOOKUP(A133,[1]Sheet12!$A$5:$G$125,3,FALSE)</f>
        <v>10027098.08</v>
      </c>
      <c r="R133" s="27">
        <f>VLOOKUP(A133,[1]NPL!$A$5:$H$119,3,FALSE)</f>
        <v>1769197.98</v>
      </c>
      <c r="S133" s="28">
        <f t="shared" si="63"/>
        <v>0.17644167493772</v>
      </c>
      <c r="T133" s="27">
        <f>VLOOKUP(A133,[1]PAR!$A$5:$H$120,3,FALSE)</f>
        <v>3190843.52</v>
      </c>
    </row>
    <row r="134" spans="1:20">
      <c r="A134" s="24" t="s">
        <v>145</v>
      </c>
      <c r="B134" s="27">
        <f>VLOOKUP(A134,[1]ticket_pivot!$A$6:$V$127,2,FALSE)</f>
        <v>5348151.27</v>
      </c>
      <c r="C134" s="27">
        <f>VLOOKUP(A134,[1]ticket_pivot!$A$6:$V$127,3,FALSE)</f>
        <v>3821770.82</v>
      </c>
      <c r="D134" s="28">
        <f t="shared" si="57"/>
        <v>0.714596619852154</v>
      </c>
      <c r="E134" s="27">
        <f>VLOOKUP(A134,[1]ticket_pivot!$A$6:$V$127,4,FALSE)</f>
        <v>3690243.57</v>
      </c>
      <c r="F134" s="28">
        <f t="shared" si="58"/>
        <v>0.965584736449477</v>
      </c>
      <c r="G134" s="27">
        <f>VLOOKUP(A134,[1]Sheet12!$A$5:$G$125,2,FALSE)</f>
        <v>39777792.74</v>
      </c>
      <c r="H134" s="27">
        <f>VLOOKUP(A134,[1]NPL!$A$5:$H$119,2,FALSE)</f>
        <v>1650043.7</v>
      </c>
      <c r="I134" s="28">
        <f t="shared" si="59"/>
        <v>0.0414815299276457</v>
      </c>
      <c r="J134" s="27">
        <f>VLOOKUP(A134,[1]PAR!$A$5:$H$120,2,FALSE)</f>
        <v>1933011.38</v>
      </c>
      <c r="K134" s="28">
        <f t="shared" si="60"/>
        <v>0.0485952398775559</v>
      </c>
      <c r="L134" s="27">
        <f>VLOOKUP(A134,[1]ticket_pivot!$A$6:$V$127,5,FALSE)</f>
        <v>24107453.62</v>
      </c>
      <c r="M134" s="27">
        <f>VLOOKUP(A134,[1]ticket_pivot!$A$6:$V$127,6,FALSE)</f>
        <v>17603849.71</v>
      </c>
      <c r="N134" s="28">
        <f t="shared" si="61"/>
        <v>0.730224352496338</v>
      </c>
      <c r="O134" s="27">
        <f>VLOOKUP(A134,[1]ticket_pivot!$A$6:$V$127,7,FALSE)</f>
        <v>17204491.86</v>
      </c>
      <c r="P134" s="28">
        <f t="shared" si="62"/>
        <v>0.977314175218554</v>
      </c>
      <c r="Q134" s="27">
        <f>VLOOKUP(A134,[1]Sheet12!$A$5:$G$125,3,FALSE)</f>
        <v>25737153.35</v>
      </c>
      <c r="R134" s="27">
        <f>VLOOKUP(A134,[1]NPL!$A$5:$H$119,3,FALSE)</f>
        <v>5587591.88</v>
      </c>
      <c r="S134" s="28">
        <f t="shared" si="63"/>
        <v>0.217102171480048</v>
      </c>
      <c r="T134" s="27">
        <f>VLOOKUP(A134,[1]PAR!$A$5:$H$120,3,FALSE)</f>
        <v>7735311.71</v>
      </c>
    </row>
    <row r="135" spans="1:20">
      <c r="A135" s="24" t="s">
        <v>146</v>
      </c>
      <c r="B135" s="27">
        <f>VLOOKUP(A135,[1]ticket_pivot!$A$6:$V$127,2,FALSE)</f>
        <v>4365045.43</v>
      </c>
      <c r="C135" s="27">
        <f>VLOOKUP(A135,[1]ticket_pivot!$A$6:$V$127,3,FALSE)</f>
        <v>2660992.58</v>
      </c>
      <c r="D135" s="28">
        <f t="shared" si="57"/>
        <v>0.609613948508206</v>
      </c>
      <c r="E135" s="27">
        <f>VLOOKUP(A135,[1]ticket_pivot!$A$6:$V$127,4,FALSE)</f>
        <v>2505774.99</v>
      </c>
      <c r="F135" s="28">
        <f t="shared" si="58"/>
        <v>0.941669288683248</v>
      </c>
      <c r="G135" s="27">
        <f>VLOOKUP(A135,[1]Sheet12!$A$5:$G$125,2,FALSE)</f>
        <v>28726942.32</v>
      </c>
      <c r="H135" s="27">
        <f>VLOOKUP(A135,[1]NPL!$A$5:$H$119,2,FALSE)</f>
        <v>1234251.98</v>
      </c>
      <c r="I135" s="28">
        <f t="shared" si="59"/>
        <v>0.042964961820552</v>
      </c>
      <c r="J135" s="27">
        <f>VLOOKUP(A135,[1]PAR!$A$5:$H$120,2,FALSE)</f>
        <v>2246622.91</v>
      </c>
      <c r="K135" s="28">
        <f t="shared" si="60"/>
        <v>0.0782061273690057</v>
      </c>
      <c r="L135" s="27">
        <f>VLOOKUP(A135,[1]ticket_pivot!$A$6:$V$127,5,FALSE)</f>
        <v>13742802.39</v>
      </c>
      <c r="M135" s="27">
        <f>VLOOKUP(A135,[1]ticket_pivot!$A$6:$V$127,6,FALSE)</f>
        <v>9229669.15</v>
      </c>
      <c r="N135" s="28">
        <f t="shared" si="61"/>
        <v>0.671600223016813</v>
      </c>
      <c r="O135" s="27">
        <f>VLOOKUP(A135,[1]ticket_pivot!$A$6:$V$127,7,FALSE)</f>
        <v>8803494.85</v>
      </c>
      <c r="P135" s="28">
        <f t="shared" si="62"/>
        <v>0.953825614648386</v>
      </c>
      <c r="Q135" s="27">
        <f>VLOOKUP(A135,[1]Sheet12!$A$5:$G$125,3,FALSE)</f>
        <v>20044157.56</v>
      </c>
      <c r="R135" s="27">
        <f>VLOOKUP(A135,[1]NPL!$A$5:$H$119,3,FALSE)</f>
        <v>2936979.37</v>
      </c>
      <c r="S135" s="28">
        <f t="shared" si="63"/>
        <v>0.146525458164479</v>
      </c>
      <c r="T135" s="27">
        <f>VLOOKUP(A135,[1]PAR!$A$5:$H$120,3,FALSE)</f>
        <v>6654780.7</v>
      </c>
    </row>
    <row r="136" spans="1:20">
      <c r="A136" s="24" t="s">
        <v>147</v>
      </c>
      <c r="B136" s="27">
        <f>VLOOKUP(A136,[1]ticket_pivot!$A$6:$V$127,2,FALSE)</f>
        <v>2905211.1</v>
      </c>
      <c r="C136" s="27">
        <f>VLOOKUP(A136,[1]ticket_pivot!$A$6:$V$127,3,FALSE)</f>
        <v>1951989.92</v>
      </c>
      <c r="D136" s="28">
        <f t="shared" si="57"/>
        <v>0.67189262769924</v>
      </c>
      <c r="E136" s="27">
        <f>VLOOKUP(A136,[1]ticket_pivot!$A$6:$V$127,4,FALSE)</f>
        <v>1948598.37</v>
      </c>
      <c r="F136" s="28">
        <f t="shared" si="58"/>
        <v>0.998262516642504</v>
      </c>
      <c r="G136" s="27">
        <f>VLOOKUP(A136,[1]Sheet12!$A$5:$G$125,2,FALSE)</f>
        <v>25657945.27</v>
      </c>
      <c r="H136" s="27">
        <f>VLOOKUP(A136,[1]NPL!$A$5:$H$119,2,FALSE)</f>
        <v>636235</v>
      </c>
      <c r="I136" s="28">
        <f t="shared" si="59"/>
        <v>0.0247968024448124</v>
      </c>
      <c r="J136" s="27">
        <f>VLOOKUP(A136,[1]PAR!$A$5:$H$120,2,FALSE)</f>
        <v>1129944.54</v>
      </c>
      <c r="K136" s="28">
        <f t="shared" si="60"/>
        <v>0.0440387773888178</v>
      </c>
      <c r="L136" s="27">
        <f>VLOOKUP(A136,[1]ticket_pivot!$A$6:$V$127,5,FALSE)</f>
        <v>17556975.68</v>
      </c>
      <c r="M136" s="27">
        <f>VLOOKUP(A136,[1]ticket_pivot!$A$6:$V$127,6,FALSE)</f>
        <v>12952669.76</v>
      </c>
      <c r="N136" s="28">
        <f t="shared" si="61"/>
        <v>0.737750623802197</v>
      </c>
      <c r="O136" s="27">
        <f>VLOOKUP(A136,[1]ticket_pivot!$A$6:$V$127,7,FALSE)</f>
        <v>12619430.93</v>
      </c>
      <c r="P136" s="28">
        <f t="shared" si="62"/>
        <v>0.974272575756614</v>
      </c>
      <c r="Q136" s="27">
        <f>VLOOKUP(A136,[1]Sheet12!$A$5:$G$125,3,FALSE)</f>
        <v>41625692.2</v>
      </c>
      <c r="R136" s="27">
        <f>VLOOKUP(A136,[1]NPL!$A$5:$H$119,3,FALSE)</f>
        <v>3783014.39</v>
      </c>
      <c r="S136" s="28">
        <f t="shared" si="63"/>
        <v>0.0908817172774847</v>
      </c>
      <c r="T136" s="27">
        <f>VLOOKUP(A136,[1]PAR!$A$5:$H$120,3,FALSE)</f>
        <v>6276822.08</v>
      </c>
    </row>
    <row r="137" spans="1:20">
      <c r="A137" s="29" t="s">
        <v>148</v>
      </c>
      <c r="B137" s="30">
        <f>SUM(B133:B136)</f>
        <v>20745082.1</v>
      </c>
      <c r="C137" s="30">
        <f t="shared" ref="C137:T137" si="64">SUM(C133:C136)</f>
        <v>13853845.36</v>
      </c>
      <c r="D137" s="31">
        <f t="shared" si="57"/>
        <v>0.667813474693359</v>
      </c>
      <c r="E137" s="30">
        <f t="shared" si="64"/>
        <v>13463206.97</v>
      </c>
      <c r="F137" s="31">
        <f t="shared" si="58"/>
        <v>0.971802890832903</v>
      </c>
      <c r="G137" s="30">
        <f t="shared" si="64"/>
        <v>152618865.71</v>
      </c>
      <c r="H137" s="30">
        <f t="shared" si="64"/>
        <v>5910667.77</v>
      </c>
      <c r="I137" s="31">
        <f t="shared" si="59"/>
        <v>0.038728290519674</v>
      </c>
      <c r="J137" s="30">
        <f t="shared" si="64"/>
        <v>9195760.37</v>
      </c>
      <c r="K137" s="31">
        <f t="shared" si="60"/>
        <v>0.0602531038821465</v>
      </c>
      <c r="L137" s="30">
        <f t="shared" si="64"/>
        <v>79318083.4</v>
      </c>
      <c r="M137" s="30">
        <f t="shared" si="64"/>
        <v>60112756.2</v>
      </c>
      <c r="N137" s="31">
        <f t="shared" si="61"/>
        <v>0.75786949990776</v>
      </c>
      <c r="O137" s="30">
        <f t="shared" si="64"/>
        <v>58719275.36</v>
      </c>
      <c r="P137" s="31">
        <f t="shared" si="62"/>
        <v>0.976818882911245</v>
      </c>
      <c r="Q137" s="30">
        <f t="shared" si="64"/>
        <v>97434101.19</v>
      </c>
      <c r="R137" s="30">
        <f t="shared" si="64"/>
        <v>14076783.62</v>
      </c>
      <c r="S137" s="31">
        <f t="shared" si="63"/>
        <v>0.14447491635962</v>
      </c>
      <c r="T137" s="30">
        <f t="shared" si="64"/>
        <v>23857758.01</v>
      </c>
    </row>
    <row r="138" spans="1:20">
      <c r="A138" s="24" t="s">
        <v>149</v>
      </c>
      <c r="B138" s="27">
        <f>VLOOKUP(A138,[1]ticket_pivot!$A$6:$V$127,2,FALSE)</f>
        <v>2412412.29</v>
      </c>
      <c r="C138" s="27">
        <f>VLOOKUP(A138,[1]ticket_pivot!$A$6:$V$127,3,FALSE)</f>
        <v>1853855.39</v>
      </c>
      <c r="D138" s="28">
        <f t="shared" si="57"/>
        <v>0.768465406052131</v>
      </c>
      <c r="E138" s="27">
        <f>VLOOKUP(A138,[1]ticket_pivot!$A$6:$V$127,4,FALSE)</f>
        <v>1779247.51</v>
      </c>
      <c r="F138" s="28">
        <f t="shared" si="58"/>
        <v>0.959755285982689</v>
      </c>
      <c r="G138" s="27">
        <f>VLOOKUP(A138,[1]Sheet12!$A$5:$G$125,2,FALSE)</f>
        <v>21390392.66</v>
      </c>
      <c r="H138" s="27">
        <f>VLOOKUP(A138,[1]NPL!$A$5:$H$119,2,FALSE)</f>
        <v>242467.28</v>
      </c>
      <c r="I138" s="28">
        <f t="shared" si="59"/>
        <v>0.011335335627261</v>
      </c>
      <c r="J138" s="27">
        <f>VLOOKUP(A138,[1]PAR!$A$5:$H$120,2,FALSE)</f>
        <v>267172.72</v>
      </c>
      <c r="K138" s="28">
        <f t="shared" si="60"/>
        <v>0.012490313957612</v>
      </c>
      <c r="L138" s="27">
        <f>VLOOKUP(A138,[1]ticket_pivot!$A$6:$V$127,5,FALSE)</f>
        <v>27419853.57</v>
      </c>
      <c r="M138" s="27">
        <f>VLOOKUP(A138,[1]ticket_pivot!$A$6:$V$127,6,FALSE)</f>
        <v>23546535.58</v>
      </c>
      <c r="N138" s="28">
        <f t="shared" si="61"/>
        <v>0.858740383856835</v>
      </c>
      <c r="O138" s="27">
        <f>VLOOKUP(A138,[1]ticket_pivot!$A$6:$V$127,7,FALSE)</f>
        <v>22615909.68</v>
      </c>
      <c r="P138" s="28">
        <f t="shared" si="62"/>
        <v>0.96047716247521</v>
      </c>
      <c r="Q138" s="27">
        <f>VLOOKUP(A138,[1]Sheet12!$A$5:$G$125,3,FALSE)</f>
        <v>67779242.8</v>
      </c>
      <c r="R138" s="27">
        <f>VLOOKUP(A138,[1]NPL!$A$5:$H$119,3,FALSE)</f>
        <v>860769.8</v>
      </c>
      <c r="S138" s="28">
        <f t="shared" si="63"/>
        <v>0.0126996077920186</v>
      </c>
      <c r="T138" s="27">
        <f>VLOOKUP(A138,[1]PAR!$A$5:$H$120,3,FALSE)</f>
        <v>3848068.81</v>
      </c>
    </row>
    <row r="139" spans="1:20">
      <c r="A139" s="24" t="s">
        <v>150</v>
      </c>
      <c r="B139" s="27">
        <f>VLOOKUP(A139,[1]ticket_pivot!$A$6:$V$127,2,FALSE)</f>
        <v>6187901.95</v>
      </c>
      <c r="C139" s="27">
        <f>VLOOKUP(A139,[1]ticket_pivot!$A$6:$V$127,3,FALSE)</f>
        <v>4587883.42</v>
      </c>
      <c r="D139" s="28">
        <f t="shared" si="57"/>
        <v>0.741427943925324</v>
      </c>
      <c r="E139" s="27">
        <f>VLOOKUP(A139,[1]ticket_pivot!$A$6:$V$127,4,FALSE)</f>
        <v>4333507.15</v>
      </c>
      <c r="F139" s="28">
        <f t="shared" si="58"/>
        <v>0.944554765953491</v>
      </c>
      <c r="G139" s="27">
        <f>VLOOKUP(A139,[1]Sheet12!$A$5:$G$125,2,FALSE)</f>
        <v>57932194.29</v>
      </c>
      <c r="H139" s="27">
        <f>VLOOKUP(A139,[1]NPL!$A$5:$H$119,2,FALSE)</f>
        <v>982489.28</v>
      </c>
      <c r="I139" s="28">
        <f t="shared" si="59"/>
        <v>0.0169592968476527</v>
      </c>
      <c r="J139" s="27">
        <f>VLOOKUP(A139,[1]PAR!$A$5:$H$120,2,FALSE)</f>
        <v>1755562.71</v>
      </c>
      <c r="K139" s="28">
        <f t="shared" si="60"/>
        <v>0.0303037496078935</v>
      </c>
      <c r="L139" s="27">
        <f>VLOOKUP(A139,[1]ticket_pivot!$A$6:$V$127,5,FALSE)</f>
        <v>17288630.69</v>
      </c>
      <c r="M139" s="27">
        <f>VLOOKUP(A139,[1]ticket_pivot!$A$6:$V$127,6,FALSE)</f>
        <v>11601963.62</v>
      </c>
      <c r="N139" s="28">
        <f t="shared" si="61"/>
        <v>0.671074755892076</v>
      </c>
      <c r="O139" s="27">
        <f>VLOOKUP(A139,[1]ticket_pivot!$A$6:$V$127,7,FALSE)</f>
        <v>11142554.19</v>
      </c>
      <c r="P139" s="28">
        <f t="shared" si="62"/>
        <v>0.96040244177218</v>
      </c>
      <c r="Q139" s="27">
        <f>VLOOKUP(A139,[1]Sheet12!$A$5:$G$125,3,FALSE)</f>
        <v>14337802.38</v>
      </c>
      <c r="R139" s="27">
        <f>VLOOKUP(A139,[1]NPL!$A$5:$H$119,3,FALSE)</f>
        <v>4280044.75</v>
      </c>
      <c r="S139" s="28">
        <f t="shared" si="63"/>
        <v>0.298514698177895</v>
      </c>
      <c r="T139" s="27">
        <f>VLOOKUP(A139,[1]PAR!$A$5:$H$120,3,FALSE)</f>
        <v>6124469.42</v>
      </c>
    </row>
    <row r="140" spans="1:20">
      <c r="A140" s="24" t="s">
        <v>151</v>
      </c>
      <c r="B140" s="27">
        <f>VLOOKUP(A140,[1]ticket_pivot!$A$6:$V$127,2,FALSE)</f>
        <v>11296705.79</v>
      </c>
      <c r="C140" s="27">
        <f>VLOOKUP(A140,[1]ticket_pivot!$A$6:$V$127,3,FALSE)</f>
        <v>10406463.07</v>
      </c>
      <c r="D140" s="28">
        <f t="shared" si="57"/>
        <v>0.92119448478617</v>
      </c>
      <c r="E140" s="27">
        <f>VLOOKUP(A140,[1]ticket_pivot!$A$6:$V$127,4,FALSE)</f>
        <v>10370718.05</v>
      </c>
      <c r="F140" s="28">
        <f t="shared" si="58"/>
        <v>0.996565113453096</v>
      </c>
      <c r="G140" s="27">
        <f>VLOOKUP(A140,[1]Sheet12!$A$5:$G$125,2,FALSE)</f>
        <v>124556430.45</v>
      </c>
      <c r="H140" s="27">
        <f>VLOOKUP(A140,[1]NPL!$A$5:$H$119,2,FALSE)</f>
        <v>25690.45</v>
      </c>
      <c r="I140" s="28">
        <f t="shared" si="59"/>
        <v>0.000206255509307589</v>
      </c>
      <c r="J140" s="27">
        <f>VLOOKUP(A140,[1]PAR!$A$5:$H$120,2,FALSE)</f>
        <v>564103.88</v>
      </c>
      <c r="K140" s="28">
        <f t="shared" si="60"/>
        <v>0.00452890210454807</v>
      </c>
      <c r="L140" s="27">
        <f>VLOOKUP(A140,[1]ticket_pivot!$A$6:$V$127,5,FALSE)</f>
        <v>29047018.11</v>
      </c>
      <c r="M140" s="27">
        <f>VLOOKUP(A140,[1]ticket_pivot!$A$6:$V$127,6,FALSE)</f>
        <v>25841822.61</v>
      </c>
      <c r="N140" s="28">
        <f t="shared" si="61"/>
        <v>0.889654921277563</v>
      </c>
      <c r="O140" s="27">
        <f>VLOOKUP(A140,[1]ticket_pivot!$A$6:$V$127,7,FALSE)</f>
        <v>25589849.51</v>
      </c>
      <c r="P140" s="28">
        <f t="shared" si="62"/>
        <v>0.990249406792906</v>
      </c>
      <c r="Q140" s="27">
        <f>VLOOKUP(A140,[1]Sheet12!$A$5:$G$125,3,FALSE)</f>
        <v>0</v>
      </c>
      <c r="R140" s="27">
        <f>VLOOKUP(A140,[1]NPL!$A$5:$H$119,3,FALSE)</f>
        <v>1315710.88</v>
      </c>
      <c r="S140" s="28" t="str">
        <f t="shared" si="63"/>
        <v/>
      </c>
      <c r="T140" s="27">
        <f>VLOOKUP(A140,[1]PAR!$A$5:$H$120,3,FALSE)</f>
        <v>1315710.88</v>
      </c>
    </row>
    <row r="141" spans="1:20">
      <c r="A141" s="29" t="s">
        <v>152</v>
      </c>
      <c r="B141" s="30">
        <f>SUM(B138:B140)</f>
        <v>19897020.03</v>
      </c>
      <c r="C141" s="30">
        <f t="shared" ref="C141:T141" si="65">SUM(C138:C140)</f>
        <v>16848201.88</v>
      </c>
      <c r="D141" s="31">
        <f t="shared" si="57"/>
        <v>0.846770112036722</v>
      </c>
      <c r="E141" s="30">
        <f t="shared" si="65"/>
        <v>16483472.71</v>
      </c>
      <c r="F141" s="31">
        <f t="shared" si="58"/>
        <v>0.978352041802576</v>
      </c>
      <c r="G141" s="30">
        <f t="shared" si="65"/>
        <v>203879017.4</v>
      </c>
      <c r="H141" s="30">
        <f t="shared" si="65"/>
        <v>1250647.01</v>
      </c>
      <c r="I141" s="31">
        <f t="shared" si="59"/>
        <v>0.00613426053327644</v>
      </c>
      <c r="J141" s="30">
        <f t="shared" si="65"/>
        <v>2586839.31</v>
      </c>
      <c r="K141" s="31">
        <f t="shared" si="60"/>
        <v>0.0126881095611951</v>
      </c>
      <c r="L141" s="30">
        <f t="shared" si="65"/>
        <v>73755502.37</v>
      </c>
      <c r="M141" s="30">
        <f t="shared" si="65"/>
        <v>60990321.81</v>
      </c>
      <c r="N141" s="31">
        <f t="shared" si="61"/>
        <v>0.826925718762479</v>
      </c>
      <c r="O141" s="30">
        <f t="shared" si="65"/>
        <v>59348313.38</v>
      </c>
      <c r="P141" s="31">
        <f t="shared" si="62"/>
        <v>0.973077557532566</v>
      </c>
      <c r="Q141" s="30">
        <f t="shared" si="65"/>
        <v>82117045.18</v>
      </c>
      <c r="R141" s="30">
        <f t="shared" si="65"/>
        <v>6456525.43</v>
      </c>
      <c r="S141" s="31">
        <f t="shared" si="63"/>
        <v>0.078625885963716</v>
      </c>
      <c r="T141" s="30">
        <f t="shared" si="65"/>
        <v>11288249.11</v>
      </c>
    </row>
    <row r="142" spans="1:20">
      <c r="A142" s="24" t="s">
        <v>153</v>
      </c>
      <c r="B142" s="27">
        <f>VLOOKUP(A142,[1]ticket_pivot!$A$6:$V$127,2,FALSE)</f>
        <v>3655709.61</v>
      </c>
      <c r="C142" s="27">
        <f>VLOOKUP(A142,[1]ticket_pivot!$A$6:$V$127,3,FALSE)</f>
        <v>2227860.59</v>
      </c>
      <c r="D142" s="28">
        <f t="shared" si="57"/>
        <v>0.609419463708442</v>
      </c>
      <c r="E142" s="27">
        <f>VLOOKUP(A142,[1]ticket_pivot!$A$6:$V$127,4,FALSE)</f>
        <v>2078129.4</v>
      </c>
      <c r="F142" s="28">
        <f t="shared" si="58"/>
        <v>0.932791490332885</v>
      </c>
      <c r="G142" s="27">
        <f>VLOOKUP(A142,[1]Sheet12!$A$5:$G$125,2,FALSE)</f>
        <v>28050763.89</v>
      </c>
      <c r="H142" s="27">
        <f>VLOOKUP(A142,[1]NPL!$A$5:$H$119,2,FALSE)</f>
        <v>838734.28</v>
      </c>
      <c r="I142" s="28">
        <f t="shared" si="59"/>
        <v>0.0299005860692088</v>
      </c>
      <c r="J142" s="27">
        <f>VLOOKUP(A142,[1]PAR!$A$5:$H$120,2,FALSE)</f>
        <v>2257924.89</v>
      </c>
      <c r="K142" s="28">
        <f t="shared" si="60"/>
        <v>0.0804942389039516</v>
      </c>
      <c r="L142" s="27">
        <f>VLOOKUP(A142,[1]ticket_pivot!$A$6:$V$127,5,FALSE)</f>
        <v>24863776.3</v>
      </c>
      <c r="M142" s="27">
        <f>VLOOKUP(A142,[1]ticket_pivot!$A$6:$V$127,6,FALSE)</f>
        <v>16564363.93</v>
      </c>
      <c r="N142" s="28">
        <f t="shared" si="61"/>
        <v>0.666204671814072</v>
      </c>
      <c r="O142" s="27">
        <f>VLOOKUP(A142,[1]ticket_pivot!$A$6:$V$127,7,FALSE)</f>
        <v>15808670.06</v>
      </c>
      <c r="P142" s="28">
        <f t="shared" si="62"/>
        <v>0.954378334526245</v>
      </c>
      <c r="Q142" s="27">
        <f>VLOOKUP(A142,[1]Sheet12!$A$5:$G$125,3,FALSE)</f>
        <v>33422216.84</v>
      </c>
      <c r="R142" s="27">
        <f>VLOOKUP(A142,[1]NPL!$A$5:$H$119,3,FALSE)</f>
        <v>5374122.12</v>
      </c>
      <c r="S142" s="28">
        <f t="shared" si="63"/>
        <v>0.160794903154605</v>
      </c>
      <c r="T142" s="27">
        <f>VLOOKUP(A142,[1]PAR!$A$5:$H$120,3,FALSE)</f>
        <v>8720917.42</v>
      </c>
    </row>
    <row r="143" spans="1:20">
      <c r="A143" s="24" t="s">
        <v>154</v>
      </c>
      <c r="B143" s="27">
        <f>VLOOKUP(A143,[1]ticket_pivot!$A$6:$V$127,2,FALSE)</f>
        <v>3291899.97</v>
      </c>
      <c r="C143" s="27">
        <f>VLOOKUP(A143,[1]ticket_pivot!$A$6:$V$127,3,FALSE)</f>
        <v>2320736.46</v>
      </c>
      <c r="D143" s="28">
        <f t="shared" si="57"/>
        <v>0.704983894149129</v>
      </c>
      <c r="E143" s="27">
        <f>VLOOKUP(A143,[1]ticket_pivot!$A$6:$V$127,4,FALSE)</f>
        <v>2195881.78</v>
      </c>
      <c r="F143" s="28">
        <f t="shared" si="58"/>
        <v>0.946200405710867</v>
      </c>
      <c r="G143" s="27">
        <f>VLOOKUP(A143,[1]Sheet12!$A$5:$G$125,2,FALSE)</f>
        <v>21379489.5</v>
      </c>
      <c r="H143" s="27">
        <f>VLOOKUP(A143,[1]NPL!$A$5:$H$119,2,FALSE)</f>
        <v>670590.65</v>
      </c>
      <c r="I143" s="28">
        <f t="shared" si="59"/>
        <v>0.0313660740121975</v>
      </c>
      <c r="J143" s="27">
        <f>VLOOKUP(A143,[1]PAR!$A$5:$H$120,2,FALSE)</f>
        <v>1163275.81</v>
      </c>
      <c r="K143" s="28">
        <f t="shared" si="60"/>
        <v>0.0544108319331011</v>
      </c>
      <c r="L143" s="27">
        <f>VLOOKUP(A143,[1]ticket_pivot!$A$6:$V$127,5,FALSE)</f>
        <v>13919239.27</v>
      </c>
      <c r="M143" s="27">
        <f>VLOOKUP(A143,[1]ticket_pivot!$A$6:$V$127,6,FALSE)</f>
        <v>10236470.59</v>
      </c>
      <c r="N143" s="28">
        <f t="shared" si="61"/>
        <v>0.735418825083535</v>
      </c>
      <c r="O143" s="27">
        <f>VLOOKUP(A143,[1]ticket_pivot!$A$6:$V$127,7,FALSE)</f>
        <v>9993574.15</v>
      </c>
      <c r="P143" s="28">
        <f t="shared" si="62"/>
        <v>0.976271466042477</v>
      </c>
      <c r="Q143" s="27">
        <f>VLOOKUP(A143,[1]Sheet12!$A$5:$G$125,3,FALSE)</f>
        <v>24303384.7</v>
      </c>
      <c r="R143" s="27">
        <f>VLOOKUP(A143,[1]NPL!$A$5:$H$119,3,FALSE)</f>
        <v>3280165.33</v>
      </c>
      <c r="S143" s="28">
        <f t="shared" si="63"/>
        <v>0.134967428219988</v>
      </c>
      <c r="T143" s="27">
        <f>VLOOKUP(A143,[1]PAR!$A$5:$H$120,3,FALSE)</f>
        <v>5252854.09</v>
      </c>
    </row>
    <row r="144" spans="1:20">
      <c r="A144" s="24" t="s">
        <v>155</v>
      </c>
      <c r="B144" s="27">
        <f>VLOOKUP(A144,[1]ticket_pivot!$A$6:$V$127,2,FALSE)</f>
        <v>7160234.78</v>
      </c>
      <c r="C144" s="27">
        <f>VLOOKUP(A144,[1]ticket_pivot!$A$6:$V$127,3,FALSE)</f>
        <v>4821080.6</v>
      </c>
      <c r="D144" s="28">
        <f t="shared" si="57"/>
        <v>0.673313201051209</v>
      </c>
      <c r="E144" s="27">
        <f>VLOOKUP(A144,[1]ticket_pivot!$A$6:$V$127,4,FALSE)</f>
        <v>4796226.08</v>
      </c>
      <c r="F144" s="28">
        <f t="shared" si="58"/>
        <v>0.994844616370861</v>
      </c>
      <c r="G144" s="27">
        <f>VLOOKUP(A144,[1]Sheet12!$A$5:$G$125,2,FALSE)</f>
        <v>60150591.03</v>
      </c>
      <c r="H144" s="27">
        <f>VLOOKUP(A144,[1]NPL!$A$5:$H$119,2,FALSE)</f>
        <v>1460591.24</v>
      </c>
      <c r="I144" s="28">
        <f t="shared" si="59"/>
        <v>0.0242822425347663</v>
      </c>
      <c r="J144" s="27">
        <f>VLOOKUP(A144,[1]PAR!$A$5:$H$120,2,FALSE)</f>
        <v>1814554.64</v>
      </c>
      <c r="K144" s="28">
        <f t="shared" si="60"/>
        <v>0.0301668630171064</v>
      </c>
      <c r="L144" s="27">
        <f>VLOOKUP(A144,[1]ticket_pivot!$A$6:$V$127,5,FALSE)</f>
        <v>21704181.47</v>
      </c>
      <c r="M144" s="27">
        <f>VLOOKUP(A144,[1]ticket_pivot!$A$6:$V$127,6,FALSE)</f>
        <v>15702403.02</v>
      </c>
      <c r="N144" s="28">
        <f t="shared" si="61"/>
        <v>0.723473633028005</v>
      </c>
      <c r="O144" s="27">
        <f>VLOOKUP(A144,[1]ticket_pivot!$A$6:$V$127,7,FALSE)</f>
        <v>14994373.9</v>
      </c>
      <c r="P144" s="28">
        <f t="shared" si="62"/>
        <v>0.95490950530959</v>
      </c>
      <c r="Q144" s="27">
        <f>VLOOKUP(A144,[1]Sheet12!$A$5:$G$125,3,FALSE)</f>
        <v>4577563.33</v>
      </c>
      <c r="R144" s="27">
        <f>VLOOKUP(A144,[1]NPL!$A$5:$H$119,3,FALSE)</f>
        <v>4482523.93</v>
      </c>
      <c r="S144" s="28">
        <f t="shared" si="63"/>
        <v>0.979237993415156</v>
      </c>
      <c r="T144" s="27">
        <f>VLOOKUP(A144,[1]PAR!$A$5:$H$120,3,FALSE)</f>
        <v>7297400.56</v>
      </c>
    </row>
    <row r="145" spans="1:20">
      <c r="A145" s="29" t="s">
        <v>156</v>
      </c>
      <c r="B145" s="30">
        <f>SUM(B142:B144)</f>
        <v>14107844.36</v>
      </c>
      <c r="C145" s="30">
        <f t="shared" ref="C145:T145" si="66">SUM(C142:C144)</f>
        <v>9369677.65</v>
      </c>
      <c r="D145" s="31">
        <f t="shared" si="57"/>
        <v>0.66414665564116</v>
      </c>
      <c r="E145" s="30">
        <f t="shared" si="66"/>
        <v>9070237.26</v>
      </c>
      <c r="F145" s="31">
        <f t="shared" si="58"/>
        <v>0.968041548366394</v>
      </c>
      <c r="G145" s="30">
        <f t="shared" si="66"/>
        <v>109580844.42</v>
      </c>
      <c r="H145" s="30">
        <f t="shared" si="66"/>
        <v>2969916.17</v>
      </c>
      <c r="I145" s="31">
        <f t="shared" si="59"/>
        <v>0.0271025121746365</v>
      </c>
      <c r="J145" s="30">
        <f t="shared" si="66"/>
        <v>5235755.34</v>
      </c>
      <c r="K145" s="31">
        <f t="shared" si="60"/>
        <v>0.0477798411548324</v>
      </c>
      <c r="L145" s="30">
        <f t="shared" si="66"/>
        <v>60487197.04</v>
      </c>
      <c r="M145" s="30">
        <f t="shared" si="66"/>
        <v>42503237.54</v>
      </c>
      <c r="N145" s="31">
        <f t="shared" si="61"/>
        <v>0.7026815527903</v>
      </c>
      <c r="O145" s="30">
        <f t="shared" si="66"/>
        <v>40796618.11</v>
      </c>
      <c r="P145" s="31">
        <f t="shared" si="62"/>
        <v>0.959847307434078</v>
      </c>
      <c r="Q145" s="30">
        <f t="shared" si="66"/>
        <v>62303164.87</v>
      </c>
      <c r="R145" s="30">
        <f t="shared" si="66"/>
        <v>13136811.38</v>
      </c>
      <c r="S145" s="31">
        <f t="shared" si="63"/>
        <v>0.210853034631722</v>
      </c>
      <c r="T145" s="30">
        <f t="shared" si="66"/>
        <v>21271172.07</v>
      </c>
    </row>
    <row r="146" spans="1:20">
      <c r="A146" s="32" t="s">
        <v>157</v>
      </c>
      <c r="B146" s="33">
        <f>SUM(B145,B141,B137)</f>
        <v>54749946.49</v>
      </c>
      <c r="C146" s="33">
        <f t="shared" ref="C146:T146" si="67">SUM(C145,C141,C137)</f>
        <v>40071724.89</v>
      </c>
      <c r="D146" s="34">
        <f t="shared" si="57"/>
        <v>0.731904366286806</v>
      </c>
      <c r="E146" s="33">
        <f t="shared" si="67"/>
        <v>39016916.94</v>
      </c>
      <c r="F146" s="34">
        <f t="shared" si="58"/>
        <v>0.973677001604111</v>
      </c>
      <c r="G146" s="33">
        <f t="shared" si="67"/>
        <v>466078727.53</v>
      </c>
      <c r="H146" s="33">
        <f t="shared" si="67"/>
        <v>10131230.95</v>
      </c>
      <c r="I146" s="34">
        <f t="shared" si="59"/>
        <v>0.0217371666020691</v>
      </c>
      <c r="J146" s="33">
        <f t="shared" si="67"/>
        <v>17018355.02</v>
      </c>
      <c r="K146" s="34">
        <f t="shared" si="60"/>
        <v>0.0365139063741213</v>
      </c>
      <c r="L146" s="33">
        <f t="shared" si="67"/>
        <v>213560782.81</v>
      </c>
      <c r="M146" s="33">
        <f t="shared" si="67"/>
        <v>163606315.55</v>
      </c>
      <c r="N146" s="34">
        <f t="shared" si="61"/>
        <v>0.76608782472743</v>
      </c>
      <c r="O146" s="33">
        <f t="shared" si="67"/>
        <v>158864206.85</v>
      </c>
      <c r="P146" s="34">
        <f t="shared" si="62"/>
        <v>0.97101512442195</v>
      </c>
      <c r="Q146" s="33">
        <f t="shared" si="67"/>
        <v>241854311.24</v>
      </c>
      <c r="R146" s="33">
        <f t="shared" si="67"/>
        <v>33670120.43</v>
      </c>
      <c r="S146" s="34">
        <f t="shared" si="63"/>
        <v>0.139216540145063</v>
      </c>
      <c r="T146" s="33">
        <f t="shared" si="67"/>
        <v>56417179.19</v>
      </c>
    </row>
    <row r="147" spans="1:20">
      <c r="A147" s="24" t="s">
        <v>158</v>
      </c>
      <c r="B147" s="27">
        <f>VLOOKUP(A147,[1]ticket_pivot!$A$6:$V$127,2,FALSE)</f>
        <v>5641670.32</v>
      </c>
      <c r="C147" s="27">
        <f>VLOOKUP(A147,[1]ticket_pivot!$A$6:$V$127,3,FALSE)</f>
        <v>4982489.06</v>
      </c>
      <c r="D147" s="28">
        <f t="shared" si="57"/>
        <v>0.883158493387469</v>
      </c>
      <c r="E147" s="27">
        <f>VLOOKUP(A147,[1]ticket_pivot!$A$6:$V$127,4,FALSE)</f>
        <v>4936328.28</v>
      </c>
      <c r="F147" s="28">
        <f t="shared" si="58"/>
        <v>0.990735397620722</v>
      </c>
      <c r="G147" s="27">
        <f>VLOOKUP(A147,[1]Sheet12!$A$5:$G$125,2,FALSE)</f>
        <v>58140422.28</v>
      </c>
      <c r="H147" s="27">
        <f>VLOOKUP(A147,[1]NPL!$A$5:$H$119,2,FALSE)</f>
        <v>75202.49</v>
      </c>
      <c r="I147" s="28">
        <f t="shared" si="59"/>
        <v>0.00129346308559354</v>
      </c>
      <c r="J147" s="27">
        <f>VLOOKUP(A147,[1]PAR!$A$5:$H$120,2,FALSE)</f>
        <v>873487.9</v>
      </c>
      <c r="K147" s="28">
        <f t="shared" si="60"/>
        <v>0.0150237625690668</v>
      </c>
      <c r="L147" s="27">
        <f>VLOOKUP(A147,[1]ticket_pivot!$A$6:$V$127,5,FALSE)</f>
        <v>14027723.84</v>
      </c>
      <c r="M147" s="27">
        <f>VLOOKUP(A147,[1]ticket_pivot!$A$6:$V$127,6,FALSE)</f>
        <v>11865702.2</v>
      </c>
      <c r="N147" s="28">
        <f t="shared" si="61"/>
        <v>0.845875092448355</v>
      </c>
      <c r="O147" s="27">
        <f>VLOOKUP(A147,[1]ticket_pivot!$A$6:$V$127,7,FALSE)</f>
        <v>11797126.34</v>
      </c>
      <c r="P147" s="28">
        <f t="shared" si="62"/>
        <v>0.994220665676238</v>
      </c>
      <c r="Q147" s="27">
        <f>VLOOKUP(A147,[1]Sheet12!$A$5:$G$125,3,FALSE)</f>
        <v>0</v>
      </c>
      <c r="R147" s="27">
        <f>VLOOKUP(A147,[1]NPL!$A$5:$H$119,3,FALSE)</f>
        <v>3143399.32</v>
      </c>
      <c r="S147" s="28" t="str">
        <f t="shared" si="63"/>
        <v/>
      </c>
      <c r="T147" s="27">
        <f>VLOOKUP(A147,[1]PAR!$A$5:$H$120,3,FALSE)</f>
        <v>3935878.3</v>
      </c>
    </row>
    <row r="148" spans="1:20">
      <c r="A148" s="24" t="s">
        <v>159</v>
      </c>
      <c r="B148" s="27">
        <f>VLOOKUP(A148,[1]ticket_pivot!$A$6:$V$127,2,FALSE)</f>
        <v>4360589.55</v>
      </c>
      <c r="C148" s="27">
        <f>VLOOKUP(A148,[1]ticket_pivot!$A$6:$V$127,3,FALSE)</f>
        <v>3443495.33</v>
      </c>
      <c r="D148" s="28">
        <f t="shared" si="57"/>
        <v>0.789685727243005</v>
      </c>
      <c r="E148" s="27">
        <f>VLOOKUP(A148,[1]ticket_pivot!$A$6:$V$127,4,FALSE)</f>
        <v>3384589.49</v>
      </c>
      <c r="F148" s="28">
        <f t="shared" si="58"/>
        <v>0.982893590856126</v>
      </c>
      <c r="G148" s="27">
        <f>VLOOKUP(A148,[1]Sheet12!$A$5:$G$125,2,FALSE)</f>
        <v>37164455.26</v>
      </c>
      <c r="H148" s="27">
        <f>VLOOKUP(A148,[1]NPL!$A$5:$H$119,2,FALSE)</f>
        <v>265125.76</v>
      </c>
      <c r="I148" s="28">
        <f t="shared" si="59"/>
        <v>0.00713385298251241</v>
      </c>
      <c r="J148" s="27">
        <f>VLOOKUP(A148,[1]PAR!$A$5:$H$120,2,FALSE)</f>
        <v>1227439.01</v>
      </c>
      <c r="K148" s="28">
        <f t="shared" si="60"/>
        <v>0.0330272299543454</v>
      </c>
      <c r="L148" s="27">
        <f>VLOOKUP(A148,[1]ticket_pivot!$A$6:$V$127,5,FALSE)</f>
        <v>22724926.82</v>
      </c>
      <c r="M148" s="27">
        <f>VLOOKUP(A148,[1]ticket_pivot!$A$6:$V$127,6,FALSE)</f>
        <v>18156440.66</v>
      </c>
      <c r="N148" s="28">
        <f t="shared" si="61"/>
        <v>0.798965858231969</v>
      </c>
      <c r="O148" s="27">
        <f>VLOOKUP(A148,[1]ticket_pivot!$A$6:$V$127,7,FALSE)</f>
        <v>17585272.41</v>
      </c>
      <c r="P148" s="28">
        <f t="shared" si="62"/>
        <v>0.968541838089537</v>
      </c>
      <c r="Q148" s="27">
        <f>VLOOKUP(A148,[1]Sheet12!$A$5:$G$125,3,FALSE)</f>
        <v>21580950.85</v>
      </c>
      <c r="R148" s="27">
        <f>VLOOKUP(A148,[1]NPL!$A$5:$H$119,3,FALSE)</f>
        <v>5384259.53</v>
      </c>
      <c r="S148" s="28">
        <f t="shared" si="63"/>
        <v>0.249491302186993</v>
      </c>
      <c r="T148" s="27">
        <f>VLOOKUP(A148,[1]PAR!$A$5:$H$120,3,FALSE)</f>
        <v>6468986.34</v>
      </c>
    </row>
    <row r="149" spans="1:20">
      <c r="A149" s="24" t="s">
        <v>160</v>
      </c>
      <c r="B149" s="27">
        <f>VLOOKUP(A149,[1]ticket_pivot!$A$6:$V$127,2,FALSE)</f>
        <v>13484105.58</v>
      </c>
      <c r="C149" s="27">
        <f>VLOOKUP(A149,[1]ticket_pivot!$A$6:$V$127,3,FALSE)</f>
        <v>9400821.51</v>
      </c>
      <c r="D149" s="28">
        <f t="shared" si="57"/>
        <v>0.697177981455704</v>
      </c>
      <c r="E149" s="27">
        <f>VLOOKUP(A149,[1]ticket_pivot!$A$6:$V$127,4,FALSE)</f>
        <v>9268282.74</v>
      </c>
      <c r="F149" s="28">
        <f t="shared" si="58"/>
        <v>0.985901362996945</v>
      </c>
      <c r="G149" s="27">
        <f>VLOOKUP(A149,[1]Sheet12!$A$5:$G$125,2,FALSE)</f>
        <v>117916772.85</v>
      </c>
      <c r="H149" s="27">
        <f>VLOOKUP(A149,[1]NPL!$A$5:$H$119,2,FALSE)</f>
        <v>2269370.36</v>
      </c>
      <c r="I149" s="28">
        <f t="shared" si="59"/>
        <v>0.0192455263585514</v>
      </c>
      <c r="J149" s="27">
        <f>VLOOKUP(A149,[1]PAR!$A$5:$H$120,2,FALSE)</f>
        <v>4459122.59</v>
      </c>
      <c r="K149" s="28">
        <f t="shared" si="60"/>
        <v>0.0378158465689387</v>
      </c>
      <c r="L149" s="27">
        <f>VLOOKUP(A149,[1]ticket_pivot!$A$6:$V$127,5,FALSE)</f>
        <v>29998559.27</v>
      </c>
      <c r="M149" s="27">
        <f>VLOOKUP(A149,[1]ticket_pivot!$A$6:$V$127,6,FALSE)</f>
        <v>26957233.01</v>
      </c>
      <c r="N149" s="28">
        <f t="shared" si="61"/>
        <v>0.89861758917731</v>
      </c>
      <c r="O149" s="27">
        <f>VLOOKUP(A149,[1]ticket_pivot!$A$6:$V$127,7,FALSE)</f>
        <v>26445225.38</v>
      </c>
      <c r="P149" s="28">
        <f t="shared" si="62"/>
        <v>0.981006669719771</v>
      </c>
      <c r="Q149" s="27">
        <f>VLOOKUP(A149,[1]Sheet12!$A$5:$G$125,3,FALSE)</f>
        <v>15285366.64</v>
      </c>
      <c r="R149" s="27">
        <f>VLOOKUP(A149,[1]NPL!$A$5:$H$119,3,FALSE)</f>
        <v>1629935.35</v>
      </c>
      <c r="S149" s="28">
        <f t="shared" si="63"/>
        <v>0.106633709768835</v>
      </c>
      <c r="T149" s="27">
        <f>VLOOKUP(A149,[1]PAR!$A$5:$H$120,3,FALSE)</f>
        <v>3517056.92</v>
      </c>
    </row>
    <row r="150" spans="1:20">
      <c r="A150" s="24" t="s">
        <v>161</v>
      </c>
      <c r="B150" s="27">
        <f>VLOOKUP(A150,[1]ticket_pivot!$A$6:$V$127,2,FALSE)</f>
        <v>7665443.24</v>
      </c>
      <c r="C150" s="27">
        <f>VLOOKUP(A150,[1]ticket_pivot!$A$6:$V$127,3,FALSE)</f>
        <v>6889606.01</v>
      </c>
      <c r="D150" s="28">
        <f t="shared" si="57"/>
        <v>0.898787688368559</v>
      </c>
      <c r="E150" s="27">
        <f>VLOOKUP(A150,[1]ticket_pivot!$A$6:$V$127,4,FALSE)</f>
        <v>6700716.96</v>
      </c>
      <c r="F150" s="28">
        <f t="shared" si="58"/>
        <v>0.972583475785723</v>
      </c>
      <c r="G150" s="27">
        <f>VLOOKUP(A150,[1]Sheet12!$A$5:$G$125,2,FALSE)</f>
        <v>73136961.3000001</v>
      </c>
      <c r="H150" s="27">
        <f>VLOOKUP(A150,[1]NPL!$A$5:$H$119,2,FALSE)</f>
        <v>291377.32</v>
      </c>
      <c r="I150" s="28">
        <f t="shared" si="59"/>
        <v>0.00398399543569771</v>
      </c>
      <c r="J150" s="27">
        <f>VLOOKUP(A150,[1]PAR!$A$5:$H$120,2,FALSE)</f>
        <v>291377.32</v>
      </c>
      <c r="K150" s="28">
        <f t="shared" si="60"/>
        <v>0.00398399543569771</v>
      </c>
      <c r="L150" s="27">
        <f>VLOOKUP(A150,[1]ticket_pivot!$A$6:$V$127,5,FALSE)</f>
        <v>29317634.77</v>
      </c>
      <c r="M150" s="27">
        <f>VLOOKUP(A150,[1]ticket_pivot!$A$6:$V$127,6,FALSE)</f>
        <v>25323185.63</v>
      </c>
      <c r="N150" s="28">
        <f t="shared" si="61"/>
        <v>0.863752680892</v>
      </c>
      <c r="O150" s="27">
        <f>VLOOKUP(A150,[1]ticket_pivot!$A$6:$V$127,7,FALSE)</f>
        <v>25202046.76</v>
      </c>
      <c r="P150" s="28">
        <f t="shared" si="62"/>
        <v>0.995216286301022</v>
      </c>
      <c r="Q150" s="27">
        <f>VLOOKUP(A150,[1]Sheet12!$A$5:$G$125,3,FALSE)</f>
        <v>2851402.02</v>
      </c>
      <c r="R150" s="27">
        <f>VLOOKUP(A150,[1]NPL!$A$5:$H$119,3,FALSE)</f>
        <v>1969667.23</v>
      </c>
      <c r="S150" s="28">
        <f t="shared" si="63"/>
        <v>0.690771492825133</v>
      </c>
      <c r="T150" s="27">
        <f>VLOOKUP(A150,[1]PAR!$A$5:$H$120,3,FALSE)</f>
        <v>3491178.57</v>
      </c>
    </row>
    <row r="151" spans="1:20">
      <c r="A151" s="29" t="s">
        <v>162</v>
      </c>
      <c r="B151" s="30">
        <f>SUM(B147:B150)</f>
        <v>31151808.69</v>
      </c>
      <c r="C151" s="30">
        <f t="shared" ref="C151:T151" si="68">SUM(C147:C150)</f>
        <v>24716411.91</v>
      </c>
      <c r="D151" s="31">
        <f t="shared" si="57"/>
        <v>0.793418197831132</v>
      </c>
      <c r="E151" s="30">
        <f t="shared" si="68"/>
        <v>24289917.47</v>
      </c>
      <c r="F151" s="31">
        <f t="shared" si="58"/>
        <v>0.982744484047563</v>
      </c>
      <c r="G151" s="30">
        <f t="shared" si="68"/>
        <v>286358611.69</v>
      </c>
      <c r="H151" s="30">
        <f t="shared" si="68"/>
        <v>2901075.93</v>
      </c>
      <c r="I151" s="31">
        <f t="shared" si="59"/>
        <v>0.0101309191048202</v>
      </c>
      <c r="J151" s="30">
        <f t="shared" si="68"/>
        <v>6851426.82</v>
      </c>
      <c r="K151" s="31">
        <f t="shared" si="60"/>
        <v>0.0239260372843862</v>
      </c>
      <c r="L151" s="30">
        <f t="shared" si="68"/>
        <v>96068844.7</v>
      </c>
      <c r="M151" s="30">
        <f t="shared" si="68"/>
        <v>82302561.5</v>
      </c>
      <c r="N151" s="31">
        <f t="shared" si="61"/>
        <v>0.856703978870686</v>
      </c>
      <c r="O151" s="30">
        <f t="shared" si="68"/>
        <v>81029670.89</v>
      </c>
      <c r="P151" s="31">
        <f t="shared" si="62"/>
        <v>0.984534009795066</v>
      </c>
      <c r="Q151" s="30">
        <f t="shared" si="68"/>
        <v>39717719.51</v>
      </c>
      <c r="R151" s="30">
        <f t="shared" si="68"/>
        <v>12127261.43</v>
      </c>
      <c r="S151" s="31">
        <f t="shared" si="63"/>
        <v>0.305336297743546</v>
      </c>
      <c r="T151" s="30">
        <f t="shared" si="68"/>
        <v>17413100.13</v>
      </c>
    </row>
    <row r="152" spans="1:20">
      <c r="A152" s="24" t="s">
        <v>163</v>
      </c>
      <c r="B152" s="27">
        <f>VLOOKUP(A152,[1]ticket_pivot!$A$6:$V$127,2,FALSE)</f>
        <v>10041338.23</v>
      </c>
      <c r="C152" s="27">
        <f>VLOOKUP(A152,[1]ticket_pivot!$A$6:$V$127,3,FALSE)</f>
        <v>8562038.95</v>
      </c>
      <c r="D152" s="28">
        <f t="shared" si="57"/>
        <v>0.852679070646144</v>
      </c>
      <c r="E152" s="27">
        <f>VLOOKUP(A152,[1]ticket_pivot!$A$6:$V$127,4,FALSE)</f>
        <v>8406168.67000001</v>
      </c>
      <c r="F152" s="28">
        <f t="shared" si="58"/>
        <v>0.981795191436265</v>
      </c>
      <c r="G152" s="27">
        <f>VLOOKUP(A152,[1]Sheet12!$A$5:$G$125,2,FALSE)</f>
        <v>114637795.53</v>
      </c>
      <c r="H152" s="27">
        <f>VLOOKUP(A152,[1]NPL!$A$5:$H$119,2,FALSE)</f>
        <v>578012.55</v>
      </c>
      <c r="I152" s="28">
        <f t="shared" si="59"/>
        <v>0.00504207663212381</v>
      </c>
      <c r="J152" s="27">
        <f>VLOOKUP(A152,[1]PAR!$A$5:$H$120,2,FALSE)</f>
        <v>1307004.53</v>
      </c>
      <c r="K152" s="28">
        <f t="shared" si="60"/>
        <v>0.011401165941454</v>
      </c>
      <c r="L152" s="27">
        <f>VLOOKUP(A152,[1]ticket_pivot!$A$6:$V$127,5,FALSE)</f>
        <v>21393415.33</v>
      </c>
      <c r="M152" s="27">
        <f>VLOOKUP(A152,[1]ticket_pivot!$A$6:$V$127,6,FALSE)</f>
        <v>18178178.01</v>
      </c>
      <c r="N152" s="28">
        <f t="shared" si="61"/>
        <v>0.849709021659048</v>
      </c>
      <c r="O152" s="27">
        <f>VLOOKUP(A152,[1]ticket_pivot!$A$6:$V$127,7,FALSE)</f>
        <v>17833656.87</v>
      </c>
      <c r="P152" s="28">
        <f t="shared" si="62"/>
        <v>0.981047542838977</v>
      </c>
      <c r="Q152" s="27">
        <f>VLOOKUP(A152,[1]Sheet12!$A$5:$G$125,3,FALSE)</f>
        <v>12444677.48</v>
      </c>
      <c r="R152" s="27">
        <f>VLOOKUP(A152,[1]NPL!$A$5:$H$119,3,FALSE)</f>
        <v>1326635.45</v>
      </c>
      <c r="S152" s="28">
        <f t="shared" si="63"/>
        <v>0.106602638126384</v>
      </c>
      <c r="T152" s="27">
        <f>VLOOKUP(A152,[1]PAR!$A$5:$H$120,3,FALSE)</f>
        <v>3127257.78</v>
      </c>
    </row>
    <row r="153" spans="1:20">
      <c r="A153" s="24" t="s">
        <v>164</v>
      </c>
      <c r="B153" s="27">
        <f>VLOOKUP(A153,[1]ticket_pivot!$A$6:$V$127,2,FALSE)</f>
        <v>5243222.77</v>
      </c>
      <c r="C153" s="27">
        <f>VLOOKUP(A153,[1]ticket_pivot!$A$6:$V$127,3,FALSE)</f>
        <v>4233781.41</v>
      </c>
      <c r="D153" s="28">
        <f t="shared" si="57"/>
        <v>0.80747692701983</v>
      </c>
      <c r="E153" s="27">
        <f>VLOOKUP(A153,[1]ticket_pivot!$A$6:$V$127,4,FALSE)</f>
        <v>4229882.78</v>
      </c>
      <c r="F153" s="28">
        <f t="shared" si="58"/>
        <v>0.999079161245597</v>
      </c>
      <c r="G153" s="27">
        <f>VLOOKUP(A153,[1]Sheet12!$A$5:$G$125,2,FALSE)</f>
        <v>47314268</v>
      </c>
      <c r="H153" s="27">
        <f>VLOOKUP(A153,[1]NPL!$A$5:$H$119,2,FALSE)</f>
        <v>391717.18</v>
      </c>
      <c r="I153" s="28">
        <f t="shared" si="59"/>
        <v>0.0082790497783882</v>
      </c>
      <c r="J153" s="27">
        <f>VLOOKUP(A153,[1]PAR!$A$5:$H$120,2,FALSE)</f>
        <v>1096644.27</v>
      </c>
      <c r="K153" s="28">
        <f t="shared" si="60"/>
        <v>0.0231778767030698</v>
      </c>
      <c r="L153" s="27">
        <f>VLOOKUP(A153,[1]ticket_pivot!$A$6:$V$127,5,FALSE)</f>
        <v>33672186.17</v>
      </c>
      <c r="M153" s="27">
        <f>VLOOKUP(A153,[1]ticket_pivot!$A$6:$V$127,6,FALSE)</f>
        <v>29496077.83</v>
      </c>
      <c r="N153" s="28">
        <f t="shared" si="61"/>
        <v>0.875977510966583</v>
      </c>
      <c r="O153" s="27">
        <f>VLOOKUP(A153,[1]ticket_pivot!$A$6:$V$127,7,FALSE)</f>
        <v>29148062.07</v>
      </c>
      <c r="P153" s="28">
        <f t="shared" si="62"/>
        <v>0.98820128689632</v>
      </c>
      <c r="Q153" s="27">
        <f>VLOOKUP(A153,[1]Sheet12!$A$5:$G$125,3,FALSE)</f>
        <v>5587907.28</v>
      </c>
      <c r="R153" s="27">
        <f>VLOOKUP(A153,[1]NPL!$A$5:$H$119,3,FALSE)</f>
        <v>825452.74</v>
      </c>
      <c r="S153" s="28">
        <f t="shared" si="63"/>
        <v>0.147721266412996</v>
      </c>
      <c r="T153" s="27">
        <f>VLOOKUP(A153,[1]PAR!$A$5:$H$120,3,FALSE)</f>
        <v>6558680.69</v>
      </c>
    </row>
    <row r="154" spans="1:20">
      <c r="A154" s="24" t="s">
        <v>165</v>
      </c>
      <c r="B154" s="27">
        <f>VLOOKUP(A154,[1]ticket_pivot!$A$6:$V$127,2,FALSE)</f>
        <v>8592113.44999999</v>
      </c>
      <c r="C154" s="27">
        <f>VLOOKUP(A154,[1]ticket_pivot!$A$6:$V$127,3,FALSE)</f>
        <v>6791117.35</v>
      </c>
      <c r="D154" s="28">
        <f t="shared" si="57"/>
        <v>0.79038962759506</v>
      </c>
      <c r="E154" s="27">
        <f>VLOOKUP(A154,[1]ticket_pivot!$A$6:$V$127,4,FALSE)</f>
        <v>6745838.42</v>
      </c>
      <c r="F154" s="28">
        <f t="shared" si="58"/>
        <v>0.993332624417099</v>
      </c>
      <c r="G154" s="27">
        <f>VLOOKUP(A154,[1]Sheet12!$A$5:$G$125,2,FALSE)</f>
        <v>78622633.95</v>
      </c>
      <c r="H154" s="27">
        <f>VLOOKUP(A154,[1]NPL!$A$5:$H$119,2,FALSE)</f>
        <v>1097197.78</v>
      </c>
      <c r="I154" s="28">
        <f t="shared" si="59"/>
        <v>0.0139552406842254</v>
      </c>
      <c r="J154" s="27">
        <f>VLOOKUP(A154,[1]PAR!$A$5:$H$120,2,FALSE)</f>
        <v>2166723.71</v>
      </c>
      <c r="K154" s="28">
        <f t="shared" si="60"/>
        <v>0.0275585235592327</v>
      </c>
      <c r="L154" s="27">
        <f>VLOOKUP(A154,[1]ticket_pivot!$A$6:$V$127,5,FALSE)</f>
        <v>26312898.95</v>
      </c>
      <c r="M154" s="27">
        <f>VLOOKUP(A154,[1]ticket_pivot!$A$6:$V$127,6,FALSE)</f>
        <v>23805716.09</v>
      </c>
      <c r="N154" s="28">
        <f t="shared" si="61"/>
        <v>0.904716585399268</v>
      </c>
      <c r="O154" s="27">
        <f>VLOOKUP(A154,[1]ticket_pivot!$A$6:$V$127,7,FALSE)</f>
        <v>23514029.99</v>
      </c>
      <c r="P154" s="28">
        <f t="shared" si="62"/>
        <v>0.987747224284402</v>
      </c>
      <c r="Q154" s="27">
        <f>VLOOKUP(A154,[1]Sheet12!$A$5:$G$125,3,FALSE)</f>
        <v>24033561.57</v>
      </c>
      <c r="R154" s="27">
        <f>VLOOKUP(A154,[1]NPL!$A$5:$H$119,3,FALSE)</f>
        <v>45133.34</v>
      </c>
      <c r="S154" s="28">
        <f t="shared" si="63"/>
        <v>0.0018779297387341</v>
      </c>
      <c r="T154" s="27">
        <f>VLOOKUP(A154,[1]PAR!$A$5:$H$120,3,FALSE)</f>
        <v>3403236.19</v>
      </c>
    </row>
    <row r="155" spans="1:20">
      <c r="A155" s="24" t="s">
        <v>166</v>
      </c>
      <c r="B155" s="27">
        <f>VLOOKUP(A155,[1]ticket_pivot!$A$6:$V$127,2,FALSE)</f>
        <v>12419830.75</v>
      </c>
      <c r="C155" s="27">
        <f>VLOOKUP(A155,[1]ticket_pivot!$A$6:$V$127,3,FALSE)</f>
        <v>11205206.71</v>
      </c>
      <c r="D155" s="28">
        <f t="shared" si="57"/>
        <v>0.902202850872183</v>
      </c>
      <c r="E155" s="27">
        <f>VLOOKUP(A155,[1]ticket_pivot!$A$6:$V$127,4,FALSE)</f>
        <v>10977507.22</v>
      </c>
      <c r="F155" s="28">
        <f t="shared" si="58"/>
        <v>0.979679135254436</v>
      </c>
      <c r="G155" s="27">
        <f>VLOOKUP(A155,[1]Sheet12!$A$5:$G$125,2,FALSE)</f>
        <v>152498931.73</v>
      </c>
      <c r="H155" s="27">
        <f>VLOOKUP(A155,[1]NPL!$A$5:$H$119,2,FALSE)</f>
        <v>727149.93</v>
      </c>
      <c r="I155" s="28">
        <f t="shared" si="59"/>
        <v>0.00476822966397838</v>
      </c>
      <c r="J155" s="27">
        <f>VLOOKUP(A155,[1]PAR!$A$5:$H$120,2,FALSE)</f>
        <v>1883571.3</v>
      </c>
      <c r="K155" s="28">
        <f t="shared" si="60"/>
        <v>0.0123513737350952</v>
      </c>
      <c r="L155" s="27">
        <f>VLOOKUP(A155,[1]ticket_pivot!$A$6:$V$127,5,FALSE)</f>
        <v>19197093.23</v>
      </c>
      <c r="M155" s="27">
        <f>VLOOKUP(A155,[1]ticket_pivot!$A$6:$V$127,6,FALSE)</f>
        <v>16581142.99</v>
      </c>
      <c r="N155" s="28">
        <f t="shared" si="61"/>
        <v>0.863731961466334</v>
      </c>
      <c r="O155" s="27">
        <f>VLOOKUP(A155,[1]ticket_pivot!$A$6:$V$127,7,FALSE)</f>
        <v>16538116.2</v>
      </c>
      <c r="P155" s="28">
        <f t="shared" si="62"/>
        <v>0.99740507695845</v>
      </c>
      <c r="Q155" s="27">
        <f>VLOOKUP(A155,[1]Sheet12!$A$5:$G$125,3,FALSE)</f>
        <v>0</v>
      </c>
      <c r="R155" s="27">
        <f>VLOOKUP(A155,[1]NPL!$A$5:$H$119,3,FALSE)</f>
        <v>584729.88</v>
      </c>
      <c r="S155" s="28" t="str">
        <f t="shared" si="63"/>
        <v/>
      </c>
      <c r="T155" s="27">
        <f>VLOOKUP(A155,[1]PAR!$A$5:$H$120,3,FALSE)</f>
        <v>584729.88</v>
      </c>
    </row>
    <row r="156" spans="1:20">
      <c r="A156" s="29" t="s">
        <v>167</v>
      </c>
      <c r="B156" s="30">
        <f>SUM(B152:B155)</f>
        <v>36296505.2</v>
      </c>
      <c r="C156" s="30">
        <f t="shared" ref="C156:T156" si="69">SUM(C152:C155)</f>
        <v>30792144.42</v>
      </c>
      <c r="D156" s="31">
        <f t="shared" si="57"/>
        <v>0.848350116638778</v>
      </c>
      <c r="E156" s="30">
        <f t="shared" si="69"/>
        <v>30359397.09</v>
      </c>
      <c r="F156" s="31">
        <f t="shared" si="58"/>
        <v>0.985946177567324</v>
      </c>
      <c r="G156" s="30">
        <f t="shared" si="69"/>
        <v>393073629.21</v>
      </c>
      <c r="H156" s="30">
        <f t="shared" si="69"/>
        <v>2794077.44</v>
      </c>
      <c r="I156" s="31">
        <f t="shared" si="59"/>
        <v>0.00710828005840927</v>
      </c>
      <c r="J156" s="30">
        <f t="shared" si="69"/>
        <v>6453943.81</v>
      </c>
      <c r="K156" s="31">
        <f t="shared" si="60"/>
        <v>0.0164191727208237</v>
      </c>
      <c r="L156" s="30">
        <f t="shared" si="69"/>
        <v>100575593.68</v>
      </c>
      <c r="M156" s="30">
        <f t="shared" si="69"/>
        <v>88061114.92</v>
      </c>
      <c r="N156" s="31">
        <f t="shared" si="61"/>
        <v>0.875571415468675</v>
      </c>
      <c r="O156" s="30">
        <f t="shared" si="69"/>
        <v>87033865.1300001</v>
      </c>
      <c r="P156" s="31">
        <f t="shared" si="62"/>
        <v>0.988334808264316</v>
      </c>
      <c r="Q156" s="30">
        <f t="shared" si="69"/>
        <v>42066146.33</v>
      </c>
      <c r="R156" s="30">
        <f t="shared" si="69"/>
        <v>2781951.41</v>
      </c>
      <c r="S156" s="31">
        <f t="shared" si="63"/>
        <v>0.0661327849757423</v>
      </c>
      <c r="T156" s="30">
        <f t="shared" si="69"/>
        <v>13673904.54</v>
      </c>
    </row>
    <row r="157" spans="1:20">
      <c r="A157" s="24" t="s">
        <v>168</v>
      </c>
      <c r="B157" s="27">
        <f>VLOOKUP(A157,[1]ticket_pivot!$A$6:$V$127,2,FALSE)</f>
        <v>7506049.04</v>
      </c>
      <c r="C157" s="27">
        <f>VLOOKUP(A157,[1]ticket_pivot!$A$6:$V$127,3,FALSE)</f>
        <v>5245125.31</v>
      </c>
      <c r="D157" s="28">
        <f t="shared" si="57"/>
        <v>0.698786443047273</v>
      </c>
      <c r="E157" s="27">
        <f>VLOOKUP(A157,[1]ticket_pivot!$A$6:$V$127,4,FALSE)</f>
        <v>5056067.67</v>
      </c>
      <c r="F157" s="28">
        <f t="shared" si="58"/>
        <v>0.963955553237297</v>
      </c>
      <c r="G157" s="27">
        <f>VLOOKUP(A157,[1]Sheet12!$A$5:$G$125,2,FALSE)</f>
        <v>59781686.92</v>
      </c>
      <c r="H157" s="27">
        <f>VLOOKUP(A157,[1]NPL!$A$5:$H$119,2,FALSE)</f>
        <v>1924468.95</v>
      </c>
      <c r="I157" s="28">
        <f t="shared" si="59"/>
        <v>0.0321916133376318</v>
      </c>
      <c r="J157" s="27">
        <f>VLOOKUP(A157,[1]PAR!$A$5:$H$120,2,FALSE)</f>
        <v>2116652.18</v>
      </c>
      <c r="K157" s="28">
        <f t="shared" si="60"/>
        <v>0.0354063642070273</v>
      </c>
      <c r="L157" s="27">
        <f>VLOOKUP(A157,[1]ticket_pivot!$A$6:$V$127,5,FALSE)</f>
        <v>15686989.03</v>
      </c>
      <c r="M157" s="27">
        <f>VLOOKUP(A157,[1]ticket_pivot!$A$6:$V$127,6,FALSE)</f>
        <v>13714128.05</v>
      </c>
      <c r="N157" s="28">
        <f t="shared" si="61"/>
        <v>0.874235841165753</v>
      </c>
      <c r="O157" s="27">
        <f>VLOOKUP(A157,[1]ticket_pivot!$A$6:$V$127,7,FALSE)</f>
        <v>13535566.66</v>
      </c>
      <c r="P157" s="28">
        <f t="shared" si="62"/>
        <v>0.986979748960416</v>
      </c>
      <c r="Q157" s="27">
        <f>VLOOKUP(A157,[1]Sheet12!$A$5:$G$125,3,FALSE)</f>
        <v>6800000</v>
      </c>
      <c r="R157" s="27">
        <f>VLOOKUP(A157,[1]NPL!$A$5:$H$119,3,FALSE)</f>
        <v>0</v>
      </c>
      <c r="S157" s="28">
        <f t="shared" si="63"/>
        <v>0</v>
      </c>
      <c r="T157" s="27">
        <f>VLOOKUP(A157,[1]PAR!$A$5:$H$120,3,FALSE)</f>
        <v>779349.74</v>
      </c>
    </row>
    <row r="158" spans="1:20">
      <c r="A158" s="24" t="s">
        <v>169</v>
      </c>
      <c r="B158" s="27">
        <f>VLOOKUP(A158,[1]ticket_pivot!$A$6:$V$127,2,FALSE)</f>
        <v>5401142.09</v>
      </c>
      <c r="C158" s="27">
        <f>VLOOKUP(A158,[1]ticket_pivot!$A$6:$V$127,3,FALSE)</f>
        <v>4665992.24</v>
      </c>
      <c r="D158" s="28">
        <f t="shared" si="57"/>
        <v>0.863889925917501</v>
      </c>
      <c r="E158" s="27">
        <f>VLOOKUP(A158,[1]ticket_pivot!$A$6:$V$127,4,FALSE)</f>
        <v>4662853.97</v>
      </c>
      <c r="F158" s="28">
        <f t="shared" si="58"/>
        <v>0.999327416369642</v>
      </c>
      <c r="G158" s="27">
        <f>VLOOKUP(A158,[1]Sheet12!$A$5:$G$125,2,FALSE)</f>
        <v>74025922.93</v>
      </c>
      <c r="H158" s="27"/>
      <c r="I158" s="28">
        <f t="shared" si="59"/>
        <v>0</v>
      </c>
      <c r="J158" s="27"/>
      <c r="K158" s="28">
        <f t="shared" si="60"/>
        <v>0</v>
      </c>
      <c r="L158" s="27">
        <f>VLOOKUP(A158,[1]ticket_pivot!$A$6:$V$127,5,FALSE)</f>
        <v>11757993.88</v>
      </c>
      <c r="M158" s="27">
        <f>VLOOKUP(A158,[1]ticket_pivot!$A$6:$V$127,6,FALSE)</f>
        <v>10985917.47</v>
      </c>
      <c r="N158" s="28">
        <f t="shared" si="61"/>
        <v>0.934336042535855</v>
      </c>
      <c r="O158" s="27">
        <f>VLOOKUP(A158,[1]ticket_pivot!$A$6:$V$127,7,FALSE)</f>
        <v>10977793.73</v>
      </c>
      <c r="P158" s="28">
        <f t="shared" si="62"/>
        <v>0.99926053149205</v>
      </c>
      <c r="Q158" s="27">
        <f>VLOOKUP(A158,[1]Sheet12!$A$5:$G$125,3,FALSE)</f>
        <v>0</v>
      </c>
      <c r="R158" s="27"/>
      <c r="S158" s="28" t="str">
        <f t="shared" si="63"/>
        <v/>
      </c>
      <c r="T158" s="27"/>
    </row>
    <row r="159" spans="1:20">
      <c r="A159" s="24" t="s">
        <v>170</v>
      </c>
      <c r="B159" s="27">
        <f>VLOOKUP(A159,[1]ticket_pivot!$A$6:$V$127,2,FALSE)</f>
        <v>2174042.45</v>
      </c>
      <c r="C159" s="27">
        <f>VLOOKUP(A159,[1]ticket_pivot!$A$6:$V$127,3,FALSE)</f>
        <v>1799217.71</v>
      </c>
      <c r="D159" s="28">
        <f t="shared" si="57"/>
        <v>0.827590882597532</v>
      </c>
      <c r="E159" s="27">
        <f>VLOOKUP(A159,[1]ticket_pivot!$A$6:$V$127,4,FALSE)</f>
        <v>1738053.44</v>
      </c>
      <c r="F159" s="28">
        <f t="shared" si="58"/>
        <v>0.966005075617002</v>
      </c>
      <c r="G159" s="27">
        <f>VLOOKUP(A159,[1]Sheet12!$A$5:$G$125,2,FALSE)</f>
        <v>16685420.74</v>
      </c>
      <c r="H159" s="27">
        <f>VLOOKUP(A159,[1]NPL!$A$5:$H$119,2,FALSE)</f>
        <v>68254.75</v>
      </c>
      <c r="I159" s="28">
        <f t="shared" si="59"/>
        <v>0.00409068198300644</v>
      </c>
      <c r="J159" s="27">
        <f>VLOOKUP(A159,[1]PAR!$A$5:$H$120,2,FALSE)</f>
        <v>472547.3</v>
      </c>
      <c r="K159" s="28">
        <f t="shared" si="60"/>
        <v>0.0283209699871194</v>
      </c>
      <c r="L159" s="27">
        <f>VLOOKUP(A159,[1]ticket_pivot!$A$6:$V$127,5,FALSE)</f>
        <v>9632470.13</v>
      </c>
      <c r="M159" s="27">
        <f>VLOOKUP(A159,[1]ticket_pivot!$A$6:$V$127,6,FALSE)</f>
        <v>5823801.01</v>
      </c>
      <c r="N159" s="28">
        <f t="shared" si="61"/>
        <v>0.604600993452548</v>
      </c>
      <c r="O159" s="27">
        <f>VLOOKUP(A159,[1]ticket_pivot!$A$6:$V$127,7,FALSE)</f>
        <v>5514691.54</v>
      </c>
      <c r="P159" s="28">
        <f t="shared" si="62"/>
        <v>0.946923071466688</v>
      </c>
      <c r="Q159" s="27">
        <f>VLOOKUP(A159,[1]Sheet12!$A$5:$G$125,3,FALSE)</f>
        <v>36067669.68</v>
      </c>
      <c r="R159" s="27">
        <f>VLOOKUP(A159,[1]NPL!$A$5:$H$119,3,FALSE)</f>
        <v>3473737.7</v>
      </c>
      <c r="S159" s="28">
        <f t="shared" si="63"/>
        <v>0.0963116755482053</v>
      </c>
      <c r="T159" s="27">
        <f>VLOOKUP(A159,[1]PAR!$A$5:$H$120,3,FALSE)</f>
        <v>4388695.54</v>
      </c>
    </row>
    <row r="160" spans="1:20">
      <c r="A160" s="29" t="s">
        <v>171</v>
      </c>
      <c r="B160" s="30">
        <f>SUM(B157:B159)</f>
        <v>15081233.58</v>
      </c>
      <c r="C160" s="30">
        <f t="shared" ref="C160:T160" si="70">SUM(C157:C159)</f>
        <v>11710335.26</v>
      </c>
      <c r="D160" s="31">
        <f t="shared" si="57"/>
        <v>0.776483912796741</v>
      </c>
      <c r="E160" s="30">
        <f t="shared" si="70"/>
        <v>11456975.08</v>
      </c>
      <c r="F160" s="31">
        <f t="shared" si="58"/>
        <v>0.978364395691947</v>
      </c>
      <c r="G160" s="30">
        <f t="shared" si="70"/>
        <v>150493030.59</v>
      </c>
      <c r="H160" s="30">
        <f t="shared" si="70"/>
        <v>1992723.7</v>
      </c>
      <c r="I160" s="31">
        <f t="shared" si="59"/>
        <v>0.013241302219695</v>
      </c>
      <c r="J160" s="30">
        <f t="shared" si="70"/>
        <v>2589199.48</v>
      </c>
      <c r="K160" s="31">
        <f t="shared" si="60"/>
        <v>0.0172047799811671</v>
      </c>
      <c r="L160" s="30">
        <f t="shared" si="70"/>
        <v>37077453.04</v>
      </c>
      <c r="M160" s="30">
        <f t="shared" si="70"/>
        <v>30523846.53</v>
      </c>
      <c r="N160" s="31">
        <f t="shared" si="61"/>
        <v>0.823245504405876</v>
      </c>
      <c r="O160" s="30">
        <f t="shared" si="70"/>
        <v>30028051.93</v>
      </c>
      <c r="P160" s="31">
        <f t="shared" si="62"/>
        <v>0.983757138881146</v>
      </c>
      <c r="Q160" s="30">
        <f t="shared" si="70"/>
        <v>42867669.68</v>
      </c>
      <c r="R160" s="30">
        <f t="shared" si="70"/>
        <v>3473737.7</v>
      </c>
      <c r="S160" s="31">
        <f t="shared" si="63"/>
        <v>0.0810339756261741</v>
      </c>
      <c r="T160" s="30">
        <f t="shared" si="70"/>
        <v>5168045.28</v>
      </c>
    </row>
    <row r="161" spans="1:20">
      <c r="A161" s="32" t="s">
        <v>172</v>
      </c>
      <c r="B161" s="33">
        <f>SUM(B160,B156,B151)</f>
        <v>82529547.47</v>
      </c>
      <c r="C161" s="33">
        <f t="shared" ref="C161:T161" si="71">SUM(C160,C156,C151)</f>
        <v>67218891.59</v>
      </c>
      <c r="D161" s="34">
        <f t="shared" si="57"/>
        <v>0.814482735585512</v>
      </c>
      <c r="E161" s="33">
        <f t="shared" si="71"/>
        <v>66106289.64</v>
      </c>
      <c r="F161" s="34">
        <f t="shared" si="58"/>
        <v>0.98344807652012</v>
      </c>
      <c r="G161" s="33">
        <f t="shared" si="71"/>
        <v>829925271.49</v>
      </c>
      <c r="H161" s="33">
        <f t="shared" si="71"/>
        <v>7687877.07</v>
      </c>
      <c r="I161" s="34">
        <f t="shared" si="59"/>
        <v>0.00926333651245205</v>
      </c>
      <c r="J161" s="33">
        <f t="shared" si="71"/>
        <v>15894570.11</v>
      </c>
      <c r="K161" s="34">
        <f t="shared" si="60"/>
        <v>0.0191518087905238</v>
      </c>
      <c r="L161" s="33">
        <f t="shared" si="71"/>
        <v>233721891.42</v>
      </c>
      <c r="M161" s="33">
        <f t="shared" si="71"/>
        <v>200887522.95</v>
      </c>
      <c r="N161" s="34">
        <f t="shared" si="61"/>
        <v>0.859515220116902</v>
      </c>
      <c r="O161" s="33">
        <f t="shared" si="71"/>
        <v>198091587.95</v>
      </c>
      <c r="P161" s="34">
        <f t="shared" si="62"/>
        <v>0.986082087334534</v>
      </c>
      <c r="Q161" s="33">
        <f t="shared" si="71"/>
        <v>124651535.52</v>
      </c>
      <c r="R161" s="33">
        <f t="shared" si="71"/>
        <v>18382950.54</v>
      </c>
      <c r="S161" s="34">
        <f t="shared" si="63"/>
        <v>0.147474721938347</v>
      </c>
      <c r="T161" s="33">
        <f t="shared" si="71"/>
        <v>36255049.95</v>
      </c>
    </row>
    <row r="162" spans="1:20">
      <c r="A162" s="35" t="s">
        <v>173</v>
      </c>
      <c r="B162" s="36">
        <f>SUM(B161,B146,B132)</f>
        <v>154329635.92</v>
      </c>
      <c r="C162" s="36">
        <f t="shared" ref="C162:T162" si="72">SUM(C161,C146,C132)</f>
        <v>115833294.47</v>
      </c>
      <c r="D162" s="37">
        <f t="shared" si="57"/>
        <v>0.750557686341233</v>
      </c>
      <c r="E162" s="36">
        <f t="shared" si="72"/>
        <v>113419028.82</v>
      </c>
      <c r="F162" s="37">
        <f t="shared" si="58"/>
        <v>0.979157411856008</v>
      </c>
      <c r="G162" s="36">
        <f t="shared" si="72"/>
        <v>1422387246.88</v>
      </c>
      <c r="H162" s="36">
        <f t="shared" si="72"/>
        <v>24235240.63</v>
      </c>
      <c r="I162" s="37">
        <f t="shared" si="59"/>
        <v>0.0170384265488599</v>
      </c>
      <c r="J162" s="36">
        <f t="shared" si="72"/>
        <v>40822007.21</v>
      </c>
      <c r="K162" s="37">
        <f t="shared" si="60"/>
        <v>0.0286996437148483</v>
      </c>
      <c r="L162" s="36">
        <f t="shared" si="72"/>
        <v>604300117.38</v>
      </c>
      <c r="M162" s="36">
        <f t="shared" si="72"/>
        <v>456540857.79</v>
      </c>
      <c r="N162" s="37">
        <f t="shared" si="61"/>
        <v>0.755486958647925</v>
      </c>
      <c r="O162" s="36">
        <f t="shared" si="72"/>
        <v>445446504.96</v>
      </c>
      <c r="P162" s="37">
        <f t="shared" si="62"/>
        <v>0.975699101973688</v>
      </c>
      <c r="Q162" s="36">
        <f t="shared" si="72"/>
        <v>1130115632.47</v>
      </c>
      <c r="R162" s="36">
        <f t="shared" si="72"/>
        <v>107009037.84</v>
      </c>
      <c r="S162" s="37">
        <f t="shared" si="63"/>
        <v>0.0946885741294625</v>
      </c>
      <c r="T162" s="36">
        <f t="shared" si="72"/>
        <v>178865787</v>
      </c>
    </row>
    <row r="163" spans="1:20">
      <c r="A163" s="24" t="s">
        <v>174</v>
      </c>
      <c r="B163" s="27">
        <f>VLOOKUP(A163,[1]ticket_pivot!$A$6:$V$127,2,FALSE)</f>
        <v>1406911.5</v>
      </c>
      <c r="C163" s="27">
        <f>VLOOKUP(A163,[1]ticket_pivot!$A$6:$V$127,3,FALSE)</f>
        <v>632188.99</v>
      </c>
      <c r="D163" s="28">
        <f t="shared" si="57"/>
        <v>0.449345243108753</v>
      </c>
      <c r="E163" s="27">
        <f>VLOOKUP(A163,[1]ticket_pivot!$A$6:$V$127,4,FALSE)</f>
        <v>631623.39</v>
      </c>
      <c r="F163" s="28">
        <f t="shared" si="58"/>
        <v>0.999105330828365</v>
      </c>
      <c r="G163" s="27">
        <f>VLOOKUP(A163,[1]Sheet12!$A$5:$G$125,2,FALSE)</f>
        <v>10450073.25</v>
      </c>
      <c r="H163" s="27">
        <f>VLOOKUP(A163,[1]NPL!$A$5:$H$119,2,FALSE)</f>
        <v>534087.68</v>
      </c>
      <c r="I163" s="28">
        <f t="shared" si="59"/>
        <v>0.0511085106508703</v>
      </c>
      <c r="J163" s="27">
        <f>VLOOKUP(A163,[1]PAR!$A$5:$H$120,2,FALSE)</f>
        <v>832158.65</v>
      </c>
      <c r="K163" s="28">
        <f t="shared" si="60"/>
        <v>0.0796318485135977</v>
      </c>
      <c r="L163" s="27">
        <f>VLOOKUP(A163,[1]ticket_pivot!$A$6:$V$127,5,FALSE)</f>
        <v>11932341.43</v>
      </c>
      <c r="M163" s="27">
        <f>VLOOKUP(A163,[1]ticket_pivot!$A$6:$V$127,6,FALSE)</f>
        <v>7703494.66</v>
      </c>
      <c r="N163" s="28">
        <f t="shared" si="61"/>
        <v>0.645597907601945</v>
      </c>
      <c r="O163" s="27">
        <f>VLOOKUP(A163,[1]ticket_pivot!$A$6:$V$127,7,FALSE)</f>
        <v>7512171.34000001</v>
      </c>
      <c r="P163" s="28">
        <f t="shared" si="62"/>
        <v>0.975164087411726</v>
      </c>
      <c r="Q163" s="27">
        <f>VLOOKUP(A163,[1]Sheet12!$A$5:$G$125,3,FALSE)</f>
        <v>57676283.68</v>
      </c>
      <c r="R163" s="27">
        <f>VLOOKUP(A163,[1]NPL!$A$5:$H$119,3,FALSE)</f>
        <v>5531431.23</v>
      </c>
      <c r="S163" s="28">
        <f t="shared" si="63"/>
        <v>0.0959047788288429</v>
      </c>
      <c r="T163" s="27">
        <f>VLOOKUP(A163,[1]PAR!$A$5:$H$120,3,FALSE)</f>
        <v>5703141.83</v>
      </c>
    </row>
    <row r="164" spans="1:20">
      <c r="A164" s="24" t="s">
        <v>175</v>
      </c>
      <c r="B164" s="27">
        <f>VLOOKUP(A164,[1]ticket_pivot!$A$6:$V$127,2,FALSE)</f>
        <v>2378387.21</v>
      </c>
      <c r="C164" s="27">
        <f>VLOOKUP(A164,[1]ticket_pivot!$A$6:$V$127,3,FALSE)</f>
        <v>2276963.46</v>
      </c>
      <c r="D164" s="28">
        <f t="shared" si="57"/>
        <v>0.957356081644923</v>
      </c>
      <c r="E164" s="27">
        <f>VLOOKUP(A164,[1]ticket_pivot!$A$6:$V$127,4,FALSE)</f>
        <v>2213579.9</v>
      </c>
      <c r="F164" s="28">
        <f t="shared" si="58"/>
        <v>0.972163119385324</v>
      </c>
      <c r="G164" s="27">
        <f>VLOOKUP(A164,[1]Sheet12!$A$5:$G$125,2,FALSE)</f>
        <v>21509909.89</v>
      </c>
      <c r="H164" s="27">
        <f>VLOOKUP(A164,[1]NPL!$A$5:$H$119,2,FALSE)</f>
        <v>0</v>
      </c>
      <c r="I164" s="28">
        <f t="shared" si="59"/>
        <v>0</v>
      </c>
      <c r="J164" s="27">
        <f>VLOOKUP(A164,[1]PAR!$A$5:$H$120,2,FALSE)</f>
        <v>619168.16</v>
      </c>
      <c r="K164" s="28">
        <f t="shared" si="60"/>
        <v>0.0287852512244997</v>
      </c>
      <c r="L164" s="27">
        <f>VLOOKUP(A164,[1]ticket_pivot!$A$6:$V$127,5,FALSE)</f>
        <v>13464423.78</v>
      </c>
      <c r="M164" s="27">
        <f>VLOOKUP(A164,[1]ticket_pivot!$A$6:$V$127,6,FALSE)</f>
        <v>11298153.54</v>
      </c>
      <c r="N164" s="28">
        <f t="shared" si="61"/>
        <v>0.839111552384606</v>
      </c>
      <c r="O164" s="27">
        <f>VLOOKUP(A164,[1]ticket_pivot!$A$6:$V$127,7,FALSE)</f>
        <v>11063169.46</v>
      </c>
      <c r="P164" s="28">
        <f t="shared" si="62"/>
        <v>0.979201550132235</v>
      </c>
      <c r="Q164" s="27">
        <f>VLOOKUP(A164,[1]Sheet12!$A$5:$G$125,3,FALSE)</f>
        <v>57940967.67</v>
      </c>
      <c r="R164" s="27">
        <f>VLOOKUP(A164,[1]NPL!$A$5:$H$119,3,FALSE)</f>
        <v>893970.85</v>
      </c>
      <c r="S164" s="28">
        <f t="shared" si="63"/>
        <v>0.0154289941288445</v>
      </c>
      <c r="T164" s="27">
        <f>VLOOKUP(A164,[1]PAR!$A$5:$H$120,3,FALSE)</f>
        <v>6789983.34</v>
      </c>
    </row>
    <row r="165" spans="1:20">
      <c r="A165" s="29" t="s">
        <v>176</v>
      </c>
      <c r="B165" s="30">
        <f>SUM(B163:B164)</f>
        <v>3785298.71</v>
      </c>
      <c r="C165" s="30">
        <f t="shared" ref="C165:T165" si="73">SUM(C163:C164)</f>
        <v>2909152.45</v>
      </c>
      <c r="D165" s="31">
        <f t="shared" si="57"/>
        <v>0.768539730382335</v>
      </c>
      <c r="E165" s="30">
        <f t="shared" si="73"/>
        <v>2845203.29</v>
      </c>
      <c r="F165" s="31">
        <f t="shared" si="58"/>
        <v>0.978017941273583</v>
      </c>
      <c r="G165" s="30">
        <f t="shared" si="73"/>
        <v>31959983.14</v>
      </c>
      <c r="H165" s="30">
        <f t="shared" si="73"/>
        <v>534087.68</v>
      </c>
      <c r="I165" s="31">
        <f t="shared" si="59"/>
        <v>0.0167111377268392</v>
      </c>
      <c r="J165" s="30">
        <f t="shared" si="73"/>
        <v>1451326.81</v>
      </c>
      <c r="K165" s="31">
        <f t="shared" si="60"/>
        <v>0.045410750176009</v>
      </c>
      <c r="L165" s="30">
        <f t="shared" si="73"/>
        <v>25396765.21</v>
      </c>
      <c r="M165" s="30">
        <f t="shared" si="73"/>
        <v>19001648.2</v>
      </c>
      <c r="N165" s="31">
        <f t="shared" si="61"/>
        <v>0.748191670981708</v>
      </c>
      <c r="O165" s="30">
        <f t="shared" si="73"/>
        <v>18575340.8</v>
      </c>
      <c r="P165" s="31">
        <f t="shared" si="62"/>
        <v>0.977564714623019</v>
      </c>
      <c r="Q165" s="30">
        <f t="shared" si="73"/>
        <v>115617251.35</v>
      </c>
      <c r="R165" s="30">
        <f t="shared" si="73"/>
        <v>6425402.08</v>
      </c>
      <c r="S165" s="31">
        <f t="shared" si="63"/>
        <v>0.0555747693789124</v>
      </c>
      <c r="T165" s="30">
        <f t="shared" si="73"/>
        <v>12493125.17</v>
      </c>
    </row>
    <row r="166" spans="1:20">
      <c r="A166" s="24" t="s">
        <v>177</v>
      </c>
      <c r="B166" s="27">
        <f>VLOOKUP(A166,[1]ticket_pivot!$A$6:$V$127,2,FALSE)</f>
        <v>4766038.88</v>
      </c>
      <c r="C166" s="27">
        <f>VLOOKUP(A166,[1]ticket_pivot!$A$6:$V$127,3,FALSE)</f>
        <v>3660697.21</v>
      </c>
      <c r="D166" s="28">
        <f t="shared" si="57"/>
        <v>0.768079594432515</v>
      </c>
      <c r="E166" s="27">
        <f>VLOOKUP(A166,[1]ticket_pivot!$A$6:$V$127,4,FALSE)</f>
        <v>3633605.98</v>
      </c>
      <c r="F166" s="28">
        <f t="shared" si="58"/>
        <v>0.992599434357479</v>
      </c>
      <c r="G166" s="27">
        <f>VLOOKUP(A166,[1]Sheet12!$A$5:$G$125,2,FALSE)</f>
        <v>45357945.06</v>
      </c>
      <c r="H166" s="27">
        <f>VLOOKUP(A166,[1]NPL!$A$5:$H$119,2,FALSE)</f>
        <v>13688.23</v>
      </c>
      <c r="I166" s="28">
        <f t="shared" si="59"/>
        <v>0.000301782410598475</v>
      </c>
      <c r="J166" s="27">
        <f>VLOOKUP(A166,[1]PAR!$A$5:$H$120,2,FALSE)</f>
        <v>1428685.58</v>
      </c>
      <c r="K166" s="28">
        <f t="shared" si="60"/>
        <v>0.0314980226310985</v>
      </c>
      <c r="L166" s="27">
        <f>VLOOKUP(A166,[1]ticket_pivot!$A$6:$V$127,5,FALSE)</f>
        <v>14729702.52</v>
      </c>
      <c r="M166" s="27">
        <f>VLOOKUP(A166,[1]ticket_pivot!$A$6:$V$127,6,FALSE)</f>
        <v>8939648.07</v>
      </c>
      <c r="N166" s="28">
        <f t="shared" si="61"/>
        <v>0.606913008450899</v>
      </c>
      <c r="O166" s="27">
        <f>VLOOKUP(A166,[1]ticket_pivot!$A$6:$V$127,7,FALSE)</f>
        <v>8761063.83</v>
      </c>
      <c r="P166" s="28">
        <f t="shared" si="62"/>
        <v>0.980023347831858</v>
      </c>
      <c r="Q166" s="27">
        <f>VLOOKUP(A166,[1]Sheet12!$A$5:$G$125,3,FALSE)</f>
        <v>77193321.33</v>
      </c>
      <c r="R166" s="27">
        <f>VLOOKUP(A166,[1]NPL!$A$5:$H$119,3,FALSE)</f>
        <v>6266428.8</v>
      </c>
      <c r="S166" s="28">
        <f t="shared" si="63"/>
        <v>0.0811783803576884</v>
      </c>
      <c r="T166" s="27">
        <f>VLOOKUP(A166,[1]PAR!$A$5:$H$120,3,FALSE)</f>
        <v>10495481.84</v>
      </c>
    </row>
    <row r="167" spans="1:20">
      <c r="A167" s="24" t="s">
        <v>178</v>
      </c>
      <c r="B167" s="27">
        <f>VLOOKUP(A167,[1]ticket_pivot!$A$6:$V$127,2,FALSE)</f>
        <v>2503064.45</v>
      </c>
      <c r="C167" s="27">
        <f>VLOOKUP(A167,[1]ticket_pivot!$A$6:$V$127,3,FALSE)</f>
        <v>1777441.62</v>
      </c>
      <c r="D167" s="28">
        <f t="shared" si="57"/>
        <v>0.710106214004997</v>
      </c>
      <c r="E167" s="27">
        <f>VLOOKUP(A167,[1]ticket_pivot!$A$6:$V$127,4,FALSE)</f>
        <v>1752380.68</v>
      </c>
      <c r="F167" s="28">
        <f t="shared" si="58"/>
        <v>0.985900555203608</v>
      </c>
      <c r="G167" s="27">
        <f>VLOOKUP(A167,[1]Sheet12!$A$5:$G$125,2,FALSE)</f>
        <v>23409257.3</v>
      </c>
      <c r="H167" s="27">
        <f>VLOOKUP(A167,[1]NPL!$A$5:$H$119,2,FALSE)</f>
        <v>297271.96</v>
      </c>
      <c r="I167" s="28">
        <f t="shared" si="59"/>
        <v>0.0126989060861833</v>
      </c>
      <c r="J167" s="27">
        <f>VLOOKUP(A167,[1]PAR!$A$5:$H$120,2,FALSE)</f>
        <v>721333.32</v>
      </c>
      <c r="K167" s="28">
        <f t="shared" si="60"/>
        <v>0.0308140198877647</v>
      </c>
      <c r="L167" s="27">
        <f>VLOOKUP(A167,[1]ticket_pivot!$A$6:$V$127,5,FALSE)</f>
        <v>9423510.78</v>
      </c>
      <c r="M167" s="27">
        <f>VLOOKUP(A167,[1]ticket_pivot!$A$6:$V$127,6,FALSE)</f>
        <v>7345207.21</v>
      </c>
      <c r="N167" s="28">
        <f t="shared" si="61"/>
        <v>0.779455489729911</v>
      </c>
      <c r="O167" s="27">
        <f>VLOOKUP(A167,[1]ticket_pivot!$A$6:$V$127,7,FALSE)</f>
        <v>7333688.64</v>
      </c>
      <c r="P167" s="28">
        <f t="shared" si="62"/>
        <v>0.998431825043095</v>
      </c>
      <c r="Q167" s="27">
        <f>VLOOKUP(A167,[1]Sheet12!$A$5:$G$125,3,FALSE)</f>
        <v>17282374.37</v>
      </c>
      <c r="R167" s="27">
        <f>VLOOKUP(A167,[1]NPL!$A$5:$H$119,3,FALSE)</f>
        <v>1548276.2</v>
      </c>
      <c r="S167" s="28">
        <f t="shared" si="63"/>
        <v>0.089587007366743</v>
      </c>
      <c r="T167" s="27">
        <f>VLOOKUP(A167,[1]PAR!$A$5:$H$120,3,FALSE)</f>
        <v>2304775.49</v>
      </c>
    </row>
    <row r="168" spans="1:20">
      <c r="A168" s="24" t="s">
        <v>179</v>
      </c>
      <c r="B168" s="27">
        <f>VLOOKUP(A168,[1]ticket_pivot!$A$6:$V$127,2,FALSE)</f>
        <v>2770957.48</v>
      </c>
      <c r="C168" s="27">
        <f>VLOOKUP(A168,[1]ticket_pivot!$A$6:$V$127,3,FALSE)</f>
        <v>1893484.05</v>
      </c>
      <c r="D168" s="28">
        <f t="shared" si="57"/>
        <v>0.683332048097685</v>
      </c>
      <c r="E168" s="27">
        <f>VLOOKUP(A168,[1]ticket_pivot!$A$6:$V$127,4,FALSE)</f>
        <v>1778718.07</v>
      </c>
      <c r="F168" s="28">
        <f t="shared" si="58"/>
        <v>0.939388990364086</v>
      </c>
      <c r="G168" s="27">
        <f>VLOOKUP(A168,[1]Sheet12!$A$5:$G$125,2,FALSE)</f>
        <v>20760539.44</v>
      </c>
      <c r="H168" s="27">
        <f>VLOOKUP(A168,[1]NPL!$A$5:$H$119,2,FALSE)</f>
        <v>768348.29</v>
      </c>
      <c r="I168" s="28">
        <f t="shared" si="59"/>
        <v>0.0370100349377049</v>
      </c>
      <c r="J168" s="27">
        <f>VLOOKUP(A168,[1]PAR!$A$5:$H$120,2,FALSE)</f>
        <v>768348.29</v>
      </c>
      <c r="K168" s="28">
        <f t="shared" si="60"/>
        <v>0.0370100349377049</v>
      </c>
      <c r="L168" s="27">
        <f>VLOOKUP(A168,[1]ticket_pivot!$A$6:$V$127,5,FALSE)</f>
        <v>11158502.03</v>
      </c>
      <c r="M168" s="27">
        <f>VLOOKUP(A168,[1]ticket_pivot!$A$6:$V$127,6,FALSE)</f>
        <v>9627578.63</v>
      </c>
      <c r="N168" s="28">
        <f t="shared" si="61"/>
        <v>0.862802068244997</v>
      </c>
      <c r="O168" s="27">
        <f>VLOOKUP(A168,[1]ticket_pivot!$A$6:$V$127,7,FALSE)</f>
        <v>9331816.19</v>
      </c>
      <c r="P168" s="28">
        <f t="shared" si="62"/>
        <v>0.969279665078155</v>
      </c>
      <c r="Q168" s="27">
        <f>VLOOKUP(A168,[1]Sheet12!$A$5:$G$125,3,FALSE)</f>
        <v>44245050.24</v>
      </c>
      <c r="R168" s="27">
        <f>VLOOKUP(A168,[1]NPL!$A$5:$H$119,3,FALSE)</f>
        <v>575982.26</v>
      </c>
      <c r="S168" s="28">
        <f t="shared" si="63"/>
        <v>0.0130180044293244</v>
      </c>
      <c r="T168" s="27">
        <f>VLOOKUP(A168,[1]PAR!$A$5:$H$120,3,FALSE)</f>
        <v>1388400.66</v>
      </c>
    </row>
    <row r="169" spans="1:20">
      <c r="A169" s="29" t="s">
        <v>180</v>
      </c>
      <c r="B169" s="30">
        <f>SUM(B166:B168)</f>
        <v>10040060.81</v>
      </c>
      <c r="C169" s="30">
        <f t="shared" ref="C169:T169" si="74">SUM(C166:C168)</f>
        <v>7331622.88</v>
      </c>
      <c r="D169" s="31">
        <f t="shared" si="57"/>
        <v>0.730236899830092</v>
      </c>
      <c r="E169" s="30">
        <f t="shared" si="74"/>
        <v>7164704.73</v>
      </c>
      <c r="F169" s="31">
        <f t="shared" si="58"/>
        <v>0.97723312386193</v>
      </c>
      <c r="G169" s="30">
        <f t="shared" si="74"/>
        <v>89527741.8</v>
      </c>
      <c r="H169" s="30">
        <f t="shared" si="74"/>
        <v>1079308.48</v>
      </c>
      <c r="I169" s="31">
        <f t="shared" si="59"/>
        <v>0.0120555758282289</v>
      </c>
      <c r="J169" s="30">
        <f t="shared" si="74"/>
        <v>2918367.19</v>
      </c>
      <c r="K169" s="31">
        <f t="shared" si="60"/>
        <v>0.0325973506236701</v>
      </c>
      <c r="L169" s="30">
        <f t="shared" si="74"/>
        <v>35311715.33</v>
      </c>
      <c r="M169" s="30">
        <f t="shared" si="74"/>
        <v>25912433.91</v>
      </c>
      <c r="N169" s="31">
        <f t="shared" si="61"/>
        <v>0.733819744179502</v>
      </c>
      <c r="O169" s="30">
        <f t="shared" si="74"/>
        <v>25426568.66</v>
      </c>
      <c r="P169" s="31">
        <f t="shared" si="62"/>
        <v>0.981249725452749</v>
      </c>
      <c r="Q169" s="30">
        <f t="shared" si="74"/>
        <v>138720745.94</v>
      </c>
      <c r="R169" s="30">
        <f t="shared" si="74"/>
        <v>8390687.26</v>
      </c>
      <c r="S169" s="31">
        <f t="shared" si="63"/>
        <v>0.0604861746031064</v>
      </c>
      <c r="T169" s="30">
        <f t="shared" si="74"/>
        <v>14188657.99</v>
      </c>
    </row>
    <row r="170" spans="1:20">
      <c r="A170" s="24" t="s">
        <v>181</v>
      </c>
      <c r="B170" s="27">
        <f>VLOOKUP(A170,[1]ticket_pivot!$A$6:$V$127,2,FALSE)</f>
        <v>678577.42</v>
      </c>
      <c r="C170" s="27">
        <f>VLOOKUP(A170,[1]ticket_pivot!$A$6:$V$127,3,FALSE)</f>
        <v>486537.78</v>
      </c>
      <c r="D170" s="28">
        <f t="shared" si="57"/>
        <v>0.716996713506913</v>
      </c>
      <c r="E170" s="27">
        <f>VLOOKUP(A170,[1]ticket_pivot!$A$6:$V$127,4,FALSE)</f>
        <v>486358.43</v>
      </c>
      <c r="F170" s="28">
        <f t="shared" si="58"/>
        <v>0.999631374977705</v>
      </c>
      <c r="G170" s="27">
        <f>VLOOKUP(A170,[1]Sheet12!$A$5:$G$125,2,FALSE)</f>
        <v>6917988.49</v>
      </c>
      <c r="H170" s="27">
        <f>VLOOKUP(A170,[1]NPL!$A$5:$H$119,2,FALSE)</f>
        <v>97109.37</v>
      </c>
      <c r="I170" s="28">
        <f t="shared" si="59"/>
        <v>0.0140372263036246</v>
      </c>
      <c r="J170" s="27">
        <f>VLOOKUP(A170,[1]PAR!$A$5:$H$120,2,FALSE)</f>
        <v>97109.37</v>
      </c>
      <c r="K170" s="28">
        <f t="shared" si="60"/>
        <v>0.0140372263036246</v>
      </c>
      <c r="L170" s="27">
        <f>VLOOKUP(A170,[1]ticket_pivot!$A$6:$V$127,5,FALSE)</f>
        <v>5013497.23</v>
      </c>
      <c r="M170" s="27">
        <f>VLOOKUP(A170,[1]ticket_pivot!$A$6:$V$127,6,FALSE)</f>
        <v>1916263.9</v>
      </c>
      <c r="N170" s="28">
        <f t="shared" si="61"/>
        <v>0.382220995063759</v>
      </c>
      <c r="O170" s="27">
        <f>VLOOKUP(A170,[1]ticket_pivot!$A$6:$V$127,7,FALSE)</f>
        <v>1914723.89</v>
      </c>
      <c r="P170" s="28">
        <f t="shared" si="62"/>
        <v>0.999196347642932</v>
      </c>
      <c r="Q170" s="27">
        <f>VLOOKUP(A170,[1]Sheet12!$A$5:$G$125,3,FALSE)</f>
        <v>14661636.79</v>
      </c>
      <c r="R170" s="27">
        <f>VLOOKUP(A170,[1]NPL!$A$5:$H$119,3,FALSE)</f>
        <v>1784363.09</v>
      </c>
      <c r="S170" s="28">
        <f t="shared" si="63"/>
        <v>0.121702857297422</v>
      </c>
      <c r="T170" s="27">
        <f>VLOOKUP(A170,[1]PAR!$A$5:$H$120,3,FALSE)</f>
        <v>3993360.38</v>
      </c>
    </row>
    <row r="171" spans="1:20">
      <c r="A171" s="24" t="s">
        <v>182</v>
      </c>
      <c r="B171" s="27">
        <f>VLOOKUP(A171,[1]ticket_pivot!$A$6:$V$127,2,FALSE)</f>
        <v>3266453.25</v>
      </c>
      <c r="C171" s="27">
        <f>VLOOKUP(A171,[1]ticket_pivot!$A$6:$V$127,3,FALSE)</f>
        <v>2633250.3</v>
      </c>
      <c r="D171" s="28">
        <f t="shared" si="57"/>
        <v>0.806149697688158</v>
      </c>
      <c r="E171" s="27">
        <f>VLOOKUP(A171,[1]ticket_pivot!$A$6:$V$127,4,FALSE)</f>
        <v>2568704.32</v>
      </c>
      <c r="F171" s="28">
        <f t="shared" si="58"/>
        <v>0.975488095453744</v>
      </c>
      <c r="G171" s="27">
        <f>VLOOKUP(A171,[1]Sheet12!$A$5:$G$125,2,FALSE)</f>
        <v>29411233.98</v>
      </c>
      <c r="H171" s="27">
        <f>VLOOKUP(A171,[1]NPL!$A$5:$H$119,2,FALSE)</f>
        <v>361248.94</v>
      </c>
      <c r="I171" s="28">
        <f t="shared" si="59"/>
        <v>0.0122826855971311</v>
      </c>
      <c r="J171" s="27">
        <f>VLOOKUP(A171,[1]PAR!$A$5:$H$120,2,FALSE)</f>
        <v>596116.56</v>
      </c>
      <c r="K171" s="28">
        <f t="shared" si="60"/>
        <v>0.0202683287755069</v>
      </c>
      <c r="L171" s="27">
        <f>VLOOKUP(A171,[1]ticket_pivot!$A$6:$V$127,5,FALSE)</f>
        <v>8398455.28</v>
      </c>
      <c r="M171" s="27">
        <f>VLOOKUP(A171,[1]ticket_pivot!$A$6:$V$127,6,FALSE)</f>
        <v>5531538.93</v>
      </c>
      <c r="N171" s="28">
        <f t="shared" si="61"/>
        <v>0.658637659614948</v>
      </c>
      <c r="O171" s="27">
        <f>VLOOKUP(A171,[1]ticket_pivot!$A$6:$V$127,7,FALSE)</f>
        <v>5447096.38</v>
      </c>
      <c r="P171" s="28">
        <f t="shared" si="62"/>
        <v>0.984734347698065</v>
      </c>
      <c r="Q171" s="27">
        <f>VLOOKUP(A171,[1]Sheet12!$A$5:$G$125,3,FALSE)</f>
        <v>55513307.33</v>
      </c>
      <c r="R171" s="27">
        <f>VLOOKUP(A171,[1]NPL!$A$5:$H$119,3,FALSE)</f>
        <v>1472178.55</v>
      </c>
      <c r="S171" s="28">
        <f t="shared" si="63"/>
        <v>0.0265193810422536</v>
      </c>
      <c r="T171" s="27">
        <f>VLOOKUP(A171,[1]PAR!$A$5:$H$120,3,FALSE)</f>
        <v>3708378.2</v>
      </c>
    </row>
    <row r="172" spans="1:20">
      <c r="A172" s="29" t="s">
        <v>183</v>
      </c>
      <c r="B172" s="30">
        <f>SUM(B170:B171)</f>
        <v>3945030.67</v>
      </c>
      <c r="C172" s="30">
        <f t="shared" ref="C172:T172" si="75">SUM(C170:C171)</f>
        <v>3119788.08</v>
      </c>
      <c r="D172" s="31">
        <f t="shared" si="57"/>
        <v>0.790814657975777</v>
      </c>
      <c r="E172" s="30">
        <f t="shared" si="75"/>
        <v>3055062.75</v>
      </c>
      <c r="F172" s="31">
        <f t="shared" si="58"/>
        <v>0.979253292742884</v>
      </c>
      <c r="G172" s="30">
        <f t="shared" si="75"/>
        <v>36329222.47</v>
      </c>
      <c r="H172" s="30">
        <f t="shared" si="75"/>
        <v>458358.31</v>
      </c>
      <c r="I172" s="31">
        <f t="shared" si="59"/>
        <v>0.0126167938325271</v>
      </c>
      <c r="J172" s="30">
        <f t="shared" si="75"/>
        <v>693225.93</v>
      </c>
      <c r="K172" s="31">
        <f t="shared" si="60"/>
        <v>0.0190817717217167</v>
      </c>
      <c r="L172" s="30">
        <f t="shared" si="75"/>
        <v>13411952.51</v>
      </c>
      <c r="M172" s="30">
        <f t="shared" si="75"/>
        <v>7447802.83</v>
      </c>
      <c r="N172" s="31">
        <f t="shared" si="61"/>
        <v>0.555310856077584</v>
      </c>
      <c r="O172" s="30">
        <f t="shared" si="75"/>
        <v>7361820.27</v>
      </c>
      <c r="P172" s="31">
        <f t="shared" si="62"/>
        <v>0.988455311994343</v>
      </c>
      <c r="Q172" s="30">
        <f t="shared" si="75"/>
        <v>70174944.12</v>
      </c>
      <c r="R172" s="30">
        <f t="shared" si="75"/>
        <v>3256541.64</v>
      </c>
      <c r="S172" s="31">
        <f t="shared" si="63"/>
        <v>0.0464060453604534</v>
      </c>
      <c r="T172" s="30">
        <f t="shared" si="75"/>
        <v>7701738.58</v>
      </c>
    </row>
    <row r="173" spans="1:20">
      <c r="A173" s="32" t="s">
        <v>184</v>
      </c>
      <c r="B173" s="33">
        <f>SUM(B172,B169,B165)</f>
        <v>17770390.19</v>
      </c>
      <c r="C173" s="33">
        <f t="shared" ref="C173:T173" si="76">SUM(C172,C169,C165)</f>
        <v>13360563.41</v>
      </c>
      <c r="D173" s="34">
        <f t="shared" si="57"/>
        <v>0.751844122000114</v>
      </c>
      <c r="E173" s="33">
        <f t="shared" si="76"/>
        <v>13064970.77</v>
      </c>
      <c r="F173" s="34">
        <f t="shared" si="58"/>
        <v>0.977875735406581</v>
      </c>
      <c r="G173" s="33">
        <f t="shared" si="76"/>
        <v>157816947.41</v>
      </c>
      <c r="H173" s="33">
        <f t="shared" si="76"/>
        <v>2071754.47</v>
      </c>
      <c r="I173" s="34">
        <f t="shared" si="59"/>
        <v>0.0131275791605428</v>
      </c>
      <c r="J173" s="33">
        <f t="shared" si="76"/>
        <v>5062919.93</v>
      </c>
      <c r="K173" s="34">
        <f t="shared" si="60"/>
        <v>0.0320809647701955</v>
      </c>
      <c r="L173" s="33">
        <f t="shared" si="76"/>
        <v>74120433.05</v>
      </c>
      <c r="M173" s="33">
        <f t="shared" si="76"/>
        <v>52361884.94</v>
      </c>
      <c r="N173" s="34">
        <f t="shared" si="61"/>
        <v>0.706443321839172</v>
      </c>
      <c r="O173" s="33">
        <f t="shared" si="76"/>
        <v>51363729.73</v>
      </c>
      <c r="P173" s="34">
        <f t="shared" si="62"/>
        <v>0.980937370548372</v>
      </c>
      <c r="Q173" s="33">
        <f t="shared" si="76"/>
        <v>324512941.41</v>
      </c>
      <c r="R173" s="33">
        <f t="shared" si="76"/>
        <v>18072630.98</v>
      </c>
      <c r="S173" s="34">
        <f t="shared" si="63"/>
        <v>0.0556915570191897</v>
      </c>
      <c r="T173" s="33">
        <f t="shared" si="76"/>
        <v>34383521.74</v>
      </c>
    </row>
    <row r="174" spans="1:20">
      <c r="A174" s="24" t="s">
        <v>185</v>
      </c>
      <c r="B174" s="27">
        <f>VLOOKUP(A174,[1]ticket_pivot!$A$6:$V$127,2,FALSE)</f>
        <v>2248933.46</v>
      </c>
      <c r="C174" s="27">
        <f>VLOOKUP(A174,[1]ticket_pivot!$A$6:$V$127,3,FALSE)</f>
        <v>2053637.31</v>
      </c>
      <c r="D174" s="28">
        <f t="shared" si="57"/>
        <v>0.913160547666893</v>
      </c>
      <c r="E174" s="27">
        <f>VLOOKUP(A174,[1]ticket_pivot!$A$6:$V$127,4,FALSE)</f>
        <v>2014810.63</v>
      </c>
      <c r="F174" s="28">
        <f t="shared" si="58"/>
        <v>0.981093701496882</v>
      </c>
      <c r="G174" s="27">
        <f>VLOOKUP(A174,[1]Sheet12!$A$5:$G$125,2,FALSE)</f>
        <v>20837205.34</v>
      </c>
      <c r="H174" s="27">
        <f>VLOOKUP(A174,[1]NPL!$A$5:$H$119,2,FALSE)</f>
        <v>55350.73</v>
      </c>
      <c r="I174" s="28">
        <f t="shared" si="59"/>
        <v>0.00265634134217348</v>
      </c>
      <c r="J174" s="27">
        <f>VLOOKUP(A174,[1]PAR!$A$5:$H$120,2,FALSE)</f>
        <v>542487.55</v>
      </c>
      <c r="K174" s="28">
        <f t="shared" si="60"/>
        <v>0.0260345637117957</v>
      </c>
      <c r="L174" s="27">
        <f>VLOOKUP(A174,[1]ticket_pivot!$A$6:$V$127,5,FALSE)</f>
        <v>8256319.26</v>
      </c>
      <c r="M174" s="27">
        <f>VLOOKUP(A174,[1]ticket_pivot!$A$6:$V$127,6,FALSE)</f>
        <v>5403072.16</v>
      </c>
      <c r="N174" s="28">
        <f t="shared" si="61"/>
        <v>0.654416573518016</v>
      </c>
      <c r="O174" s="27">
        <f>VLOOKUP(A174,[1]ticket_pivot!$A$6:$V$127,7,FALSE)</f>
        <v>5302567.31</v>
      </c>
      <c r="P174" s="28">
        <f t="shared" si="62"/>
        <v>0.981398573436783</v>
      </c>
      <c r="Q174" s="27">
        <f>VLOOKUP(A174,[1]Sheet12!$A$5:$G$125,3,FALSE)</f>
        <v>41984879.98</v>
      </c>
      <c r="R174" s="27">
        <f>VLOOKUP(A174,[1]NPL!$A$5:$H$119,3,FALSE)</f>
        <v>2220682.32</v>
      </c>
      <c r="S174" s="28">
        <f t="shared" si="63"/>
        <v>0.0528924298713691</v>
      </c>
      <c r="T174" s="27">
        <f>VLOOKUP(A174,[1]PAR!$A$5:$H$120,3,FALSE)</f>
        <v>2220682.32</v>
      </c>
    </row>
    <row r="175" spans="1:20">
      <c r="A175" s="24" t="s">
        <v>186</v>
      </c>
      <c r="B175" s="27">
        <f>VLOOKUP(A175,[1]ticket_pivot!$A$6:$V$127,2,FALSE)</f>
        <v>1830902.21</v>
      </c>
      <c r="C175" s="27">
        <f>VLOOKUP(A175,[1]ticket_pivot!$A$6:$V$127,3,FALSE)</f>
        <v>1474904.08</v>
      </c>
      <c r="D175" s="28">
        <f t="shared" si="57"/>
        <v>0.805561363105242</v>
      </c>
      <c r="E175" s="27">
        <f>VLOOKUP(A175,[1]ticket_pivot!$A$6:$V$127,4,FALSE)</f>
        <v>1473845.68</v>
      </c>
      <c r="F175" s="28">
        <f t="shared" si="58"/>
        <v>0.999282394011684</v>
      </c>
      <c r="G175" s="27">
        <f>VLOOKUP(A175,[1]Sheet12!$A$5:$G$125,2,FALSE)</f>
        <v>16514875.83</v>
      </c>
      <c r="H175" s="27">
        <f>VLOOKUP(A175,[1]NPL!$A$5:$H$119,2,FALSE)</f>
        <v>330695.31</v>
      </c>
      <c r="I175" s="28">
        <f t="shared" si="59"/>
        <v>0.0200240869749246</v>
      </c>
      <c r="J175" s="27">
        <f>VLOOKUP(A175,[1]PAR!$A$5:$H$120,2,FALSE)</f>
        <v>330695.31</v>
      </c>
      <c r="K175" s="28">
        <f t="shared" si="60"/>
        <v>0.0200240869749246</v>
      </c>
      <c r="L175" s="27">
        <f>VLOOKUP(A175,[1]ticket_pivot!$A$6:$V$127,5,FALSE)</f>
        <v>5352363.87</v>
      </c>
      <c r="M175" s="27">
        <f>VLOOKUP(A175,[1]ticket_pivot!$A$6:$V$127,6,FALSE)</f>
        <v>4542888.57</v>
      </c>
      <c r="N175" s="28">
        <f t="shared" si="61"/>
        <v>0.848763028885777</v>
      </c>
      <c r="O175" s="27">
        <f>VLOOKUP(A175,[1]ticket_pivot!$A$6:$V$127,7,FALSE)</f>
        <v>4530632.31</v>
      </c>
      <c r="P175" s="28">
        <f t="shared" si="62"/>
        <v>0.997302099795945</v>
      </c>
      <c r="Q175" s="27">
        <f>VLOOKUP(A175,[1]Sheet12!$A$5:$G$125,3,FALSE)</f>
        <v>33294603.51</v>
      </c>
      <c r="R175" s="27">
        <f>VLOOKUP(A175,[1]NPL!$A$5:$H$119,3,FALSE)</f>
        <v>0</v>
      </c>
      <c r="S175" s="28">
        <f t="shared" si="63"/>
        <v>0</v>
      </c>
      <c r="T175" s="27">
        <f>VLOOKUP(A175,[1]PAR!$A$5:$H$120,3,FALSE)</f>
        <v>515809.15</v>
      </c>
    </row>
    <row r="176" spans="1:20">
      <c r="A176" s="24" t="s">
        <v>187</v>
      </c>
      <c r="B176" s="27">
        <f>VLOOKUP(A176,[1]ticket_pivot!$A$6:$V$127,2,FALSE)</f>
        <v>3149622.03</v>
      </c>
      <c r="C176" s="27">
        <f>VLOOKUP(A176,[1]ticket_pivot!$A$6:$V$127,3,FALSE)</f>
        <v>2148945.72</v>
      </c>
      <c r="D176" s="28">
        <f t="shared" si="57"/>
        <v>0.682286858401228</v>
      </c>
      <c r="E176" s="27">
        <f>VLOOKUP(A176,[1]ticket_pivot!$A$6:$V$127,4,FALSE)</f>
        <v>2145841.57</v>
      </c>
      <c r="F176" s="28">
        <f t="shared" si="58"/>
        <v>0.998555500973752</v>
      </c>
      <c r="G176" s="27">
        <f>VLOOKUP(A176,[1]Sheet12!$A$5:$G$125,2,FALSE)</f>
        <v>19809192.72</v>
      </c>
      <c r="H176" s="27">
        <f>VLOOKUP(A176,[1]NPL!$A$5:$H$119,2,FALSE)</f>
        <v>716852.68</v>
      </c>
      <c r="I176" s="28">
        <f t="shared" si="59"/>
        <v>0.0361878795432306</v>
      </c>
      <c r="J176" s="27">
        <f>VLOOKUP(A176,[1]PAR!$A$5:$H$120,2,FALSE)</f>
        <v>891674.13</v>
      </c>
      <c r="K176" s="28">
        <f t="shared" si="60"/>
        <v>0.0450131483197565</v>
      </c>
      <c r="L176" s="27">
        <f>VLOOKUP(A176,[1]ticket_pivot!$A$6:$V$127,5,FALSE)</f>
        <v>8751597.8</v>
      </c>
      <c r="M176" s="27">
        <f>VLOOKUP(A176,[1]ticket_pivot!$A$6:$V$127,6,FALSE)</f>
        <v>8355826.82</v>
      </c>
      <c r="N176" s="28">
        <f t="shared" si="61"/>
        <v>0.954777288782627</v>
      </c>
      <c r="O176" s="27">
        <f>VLOOKUP(A176,[1]ticket_pivot!$A$6:$V$127,7,FALSE)</f>
        <v>8304950.48</v>
      </c>
      <c r="P176" s="28">
        <f t="shared" si="62"/>
        <v>0.993911274001248</v>
      </c>
      <c r="Q176" s="27">
        <f>VLOOKUP(A176,[1]Sheet12!$A$5:$G$125,3,FALSE)</f>
        <v>19249523.63</v>
      </c>
      <c r="R176" s="27">
        <f>VLOOKUP(A176,[1]NPL!$A$5:$H$119,3,FALSE)</f>
        <v>0</v>
      </c>
      <c r="S176" s="28">
        <f t="shared" si="63"/>
        <v>0</v>
      </c>
      <c r="T176" s="27">
        <f>VLOOKUP(A176,[1]PAR!$A$5:$H$120,3,FALSE)</f>
        <v>377906.63</v>
      </c>
    </row>
    <row r="177" spans="1:20">
      <c r="A177" s="29" t="s">
        <v>188</v>
      </c>
      <c r="B177" s="30">
        <f>SUM(B174:B176)</f>
        <v>7229457.7</v>
      </c>
      <c r="C177" s="30">
        <f t="shared" ref="C177:T177" si="77">SUM(C174:C176)</f>
        <v>5677487.11</v>
      </c>
      <c r="D177" s="31">
        <f t="shared" si="57"/>
        <v>0.785326831637731</v>
      </c>
      <c r="E177" s="30">
        <f t="shared" si="77"/>
        <v>5634497.88</v>
      </c>
      <c r="F177" s="31">
        <f t="shared" si="58"/>
        <v>0.992428123716163</v>
      </c>
      <c r="G177" s="30">
        <f t="shared" si="77"/>
        <v>57161273.89</v>
      </c>
      <c r="H177" s="30">
        <f t="shared" si="77"/>
        <v>1102898.72</v>
      </c>
      <c r="I177" s="31">
        <f t="shared" si="59"/>
        <v>0.0192945091133273</v>
      </c>
      <c r="J177" s="30">
        <f t="shared" si="77"/>
        <v>1764856.99</v>
      </c>
      <c r="K177" s="31">
        <f t="shared" si="60"/>
        <v>0.0308750465113191</v>
      </c>
      <c r="L177" s="30">
        <f t="shared" si="77"/>
        <v>22360280.93</v>
      </c>
      <c r="M177" s="30">
        <f t="shared" si="77"/>
        <v>18301787.55</v>
      </c>
      <c r="N177" s="31">
        <f t="shared" si="61"/>
        <v>0.818495420844429</v>
      </c>
      <c r="O177" s="30">
        <f t="shared" si="77"/>
        <v>18138150.1</v>
      </c>
      <c r="P177" s="31">
        <f t="shared" si="62"/>
        <v>0.991058936207573</v>
      </c>
      <c r="Q177" s="30">
        <f t="shared" si="77"/>
        <v>94529007.12</v>
      </c>
      <c r="R177" s="30">
        <f t="shared" si="77"/>
        <v>2220682.32</v>
      </c>
      <c r="S177" s="31">
        <f t="shared" si="63"/>
        <v>0.0234920728320033</v>
      </c>
      <c r="T177" s="30">
        <f t="shared" si="77"/>
        <v>3114398.1</v>
      </c>
    </row>
    <row r="178" spans="1:20">
      <c r="A178" s="24" t="s">
        <v>189</v>
      </c>
      <c r="B178" s="27">
        <f>VLOOKUP(A178,[1]ticket_pivot!$A$6:$V$127,2,FALSE)</f>
        <v>8515959.17</v>
      </c>
      <c r="C178" s="27">
        <f>VLOOKUP(A178,[1]ticket_pivot!$A$6:$V$127,3,FALSE)</f>
        <v>5975079.48</v>
      </c>
      <c r="D178" s="28">
        <f t="shared" si="57"/>
        <v>0.701633176101759</v>
      </c>
      <c r="E178" s="27">
        <f>VLOOKUP(A178,[1]ticket_pivot!$A$6:$V$127,4,FALSE)</f>
        <v>5555960.17</v>
      </c>
      <c r="F178" s="28">
        <f t="shared" si="58"/>
        <v>0.92985544185598</v>
      </c>
      <c r="G178" s="27">
        <f>VLOOKUP(A178,[1]Sheet12!$A$5:$G$125,2,FALSE)</f>
        <v>76018844.7200001</v>
      </c>
      <c r="H178" s="27">
        <f>VLOOKUP(A178,[1]NPL!$A$5:$H$119,2,FALSE)</f>
        <v>2868560.7</v>
      </c>
      <c r="I178" s="28">
        <f t="shared" si="59"/>
        <v>0.0377348631193457</v>
      </c>
      <c r="J178" s="27">
        <f>VLOOKUP(A178,[1]PAR!$A$5:$H$120,2,FALSE)</f>
        <v>4272626.38</v>
      </c>
      <c r="K178" s="28">
        <f t="shared" si="60"/>
        <v>0.0562048317852942</v>
      </c>
      <c r="L178" s="27">
        <f>VLOOKUP(A178,[1]ticket_pivot!$A$6:$V$127,5,FALSE)</f>
        <v>11402579.68</v>
      </c>
      <c r="M178" s="27">
        <f>VLOOKUP(A178,[1]ticket_pivot!$A$6:$V$127,6,FALSE)</f>
        <v>8554050.65</v>
      </c>
      <c r="N178" s="28">
        <f t="shared" si="61"/>
        <v>0.750185562395473</v>
      </c>
      <c r="O178" s="27">
        <f>VLOOKUP(A178,[1]ticket_pivot!$A$6:$V$127,7,FALSE)</f>
        <v>8324746.44</v>
      </c>
      <c r="P178" s="28">
        <f t="shared" si="62"/>
        <v>0.973193494008596</v>
      </c>
      <c r="Q178" s="27">
        <f>VLOOKUP(A178,[1]Sheet12!$A$5:$G$125,3,FALSE)</f>
        <v>28796791</v>
      </c>
      <c r="R178" s="27">
        <f>VLOOKUP(A178,[1]NPL!$A$5:$H$119,3,FALSE)</f>
        <v>1816930.13</v>
      </c>
      <c r="S178" s="28">
        <f t="shared" si="63"/>
        <v>0.0630948819957057</v>
      </c>
      <c r="T178" s="27">
        <f>VLOOKUP(A178,[1]PAR!$A$5:$H$120,3,FALSE)</f>
        <v>3322952.42</v>
      </c>
    </row>
    <row r="179" spans="1:20">
      <c r="A179" s="24" t="s">
        <v>190</v>
      </c>
      <c r="B179" s="27">
        <f>VLOOKUP(A179,[1]ticket_pivot!$A$6:$V$127,2,FALSE)</f>
        <v>4531753.33</v>
      </c>
      <c r="C179" s="27">
        <f>VLOOKUP(A179,[1]ticket_pivot!$A$6:$V$127,3,FALSE)</f>
        <v>2722055.77</v>
      </c>
      <c r="D179" s="28">
        <f t="shared" si="57"/>
        <v>0.60066282778017</v>
      </c>
      <c r="E179" s="27">
        <f>VLOOKUP(A179,[1]ticket_pivot!$A$6:$V$127,4,FALSE)</f>
        <v>2661489.05</v>
      </c>
      <c r="F179" s="28">
        <f t="shared" si="58"/>
        <v>0.97774964030219</v>
      </c>
      <c r="G179" s="27">
        <f>VLOOKUP(A179,[1]Sheet12!$A$5:$G$125,2,FALSE)</f>
        <v>29500458.46</v>
      </c>
      <c r="H179" s="27">
        <f>VLOOKUP(A179,[1]NPL!$A$5:$H$119,2,FALSE)</f>
        <v>1184154.93</v>
      </c>
      <c r="I179" s="28">
        <f t="shared" si="59"/>
        <v>0.0401402212648867</v>
      </c>
      <c r="J179" s="27">
        <f>VLOOKUP(A179,[1]PAR!$A$5:$H$120,2,FALSE)</f>
        <v>1504137.83</v>
      </c>
      <c r="K179" s="28">
        <f t="shared" si="60"/>
        <v>0.0509869306620938</v>
      </c>
      <c r="L179" s="27">
        <f>VLOOKUP(A179,[1]ticket_pivot!$A$6:$V$127,5,FALSE)</f>
        <v>8973850.4</v>
      </c>
      <c r="M179" s="27">
        <f>VLOOKUP(A179,[1]ticket_pivot!$A$6:$V$127,6,FALSE)</f>
        <v>7250873.22</v>
      </c>
      <c r="N179" s="28">
        <f t="shared" si="61"/>
        <v>0.80800023365667</v>
      </c>
      <c r="O179" s="27">
        <f>VLOOKUP(A179,[1]ticket_pivot!$A$6:$V$127,7,FALSE)</f>
        <v>6996241.02</v>
      </c>
      <c r="P179" s="28">
        <f t="shared" si="62"/>
        <v>0.96488254693274</v>
      </c>
      <c r="Q179" s="27">
        <f>VLOOKUP(A179,[1]Sheet12!$A$5:$G$125,3,FALSE)</f>
        <v>30591366.25</v>
      </c>
      <c r="R179" s="27">
        <f>VLOOKUP(A179,[1]NPL!$A$5:$H$119,3,FALSE)</f>
        <v>1821202.23</v>
      </c>
      <c r="S179" s="28">
        <f t="shared" si="63"/>
        <v>0.0595332099624678</v>
      </c>
      <c r="T179" s="27">
        <f>VLOOKUP(A179,[1]PAR!$A$5:$H$120,3,FALSE)</f>
        <v>2385158.12</v>
      </c>
    </row>
    <row r="180" spans="1:20">
      <c r="A180" s="29" t="s">
        <v>191</v>
      </c>
      <c r="B180" s="30">
        <f>SUM(B178:B179)</f>
        <v>13047712.5</v>
      </c>
      <c r="C180" s="30">
        <f t="shared" ref="C180:T180" si="78">SUM(C178:C179)</f>
        <v>8697135.25</v>
      </c>
      <c r="D180" s="31">
        <f t="shared" si="57"/>
        <v>0.666563985832766</v>
      </c>
      <c r="E180" s="30">
        <f t="shared" si="78"/>
        <v>8217449.22</v>
      </c>
      <c r="F180" s="31">
        <f t="shared" si="58"/>
        <v>0.944845513354527</v>
      </c>
      <c r="G180" s="30">
        <f t="shared" si="78"/>
        <v>105519303.18</v>
      </c>
      <c r="H180" s="30">
        <f t="shared" si="78"/>
        <v>4052715.63</v>
      </c>
      <c r="I180" s="31">
        <f t="shared" si="59"/>
        <v>0.0384073388267801</v>
      </c>
      <c r="J180" s="30">
        <f t="shared" si="78"/>
        <v>5776764.21</v>
      </c>
      <c r="K180" s="31">
        <f t="shared" si="60"/>
        <v>0.0547460420596761</v>
      </c>
      <c r="L180" s="30">
        <f t="shared" si="78"/>
        <v>20376430.08</v>
      </c>
      <c r="M180" s="30">
        <f t="shared" si="78"/>
        <v>15804923.87</v>
      </c>
      <c r="N180" s="31">
        <f t="shared" si="61"/>
        <v>0.775647343913934</v>
      </c>
      <c r="O180" s="30">
        <f t="shared" si="78"/>
        <v>15320987.46</v>
      </c>
      <c r="P180" s="31">
        <f t="shared" si="62"/>
        <v>0.96938065542229</v>
      </c>
      <c r="Q180" s="30">
        <f t="shared" si="78"/>
        <v>59388157.25</v>
      </c>
      <c r="R180" s="30">
        <f t="shared" si="78"/>
        <v>3638132.36</v>
      </c>
      <c r="S180" s="31">
        <f t="shared" si="63"/>
        <v>0.0612602331586909</v>
      </c>
      <c r="T180" s="30">
        <f t="shared" si="78"/>
        <v>5708110.54</v>
      </c>
    </row>
    <row r="181" spans="1:20">
      <c r="A181" s="24" t="s">
        <v>192</v>
      </c>
      <c r="B181" s="27">
        <f>VLOOKUP(A181,[1]ticket_pivot!$A$6:$V$127,2,FALSE)</f>
        <v>2158814.48</v>
      </c>
      <c r="C181" s="27">
        <f>VLOOKUP(A181,[1]ticket_pivot!$A$6:$V$127,3,FALSE)</f>
        <v>1741681.86</v>
      </c>
      <c r="D181" s="28">
        <f t="shared" si="57"/>
        <v>0.806776995492452</v>
      </c>
      <c r="E181" s="27">
        <f>VLOOKUP(A181,[1]ticket_pivot!$A$6:$V$127,4,FALSE)</f>
        <v>1740706.37</v>
      </c>
      <c r="F181" s="28">
        <f t="shared" si="58"/>
        <v>0.999439914933718</v>
      </c>
      <c r="G181" s="27">
        <f>VLOOKUP(A181,[1]Sheet12!$A$5:$G$125,2,FALSE)</f>
        <v>26026087.81</v>
      </c>
      <c r="H181" s="27">
        <f>VLOOKUP(A181,[1]NPL!$A$5:$H$119,2,FALSE)</f>
        <v>23200.91</v>
      </c>
      <c r="I181" s="28">
        <f t="shared" si="59"/>
        <v>0.000891448233379337</v>
      </c>
      <c r="J181" s="27">
        <f>VLOOKUP(A181,[1]PAR!$A$5:$H$120,2,FALSE)</f>
        <v>277532.94</v>
      </c>
      <c r="K181" s="28">
        <f t="shared" si="60"/>
        <v>0.0106636441875587</v>
      </c>
      <c r="L181" s="27">
        <f>VLOOKUP(A181,[1]ticket_pivot!$A$6:$V$127,5,FALSE)</f>
        <v>8090651.91</v>
      </c>
      <c r="M181" s="27">
        <f>VLOOKUP(A181,[1]ticket_pivot!$A$6:$V$127,6,FALSE)</f>
        <v>5047823.72</v>
      </c>
      <c r="N181" s="28">
        <f t="shared" si="61"/>
        <v>0.623908156740858</v>
      </c>
      <c r="O181" s="27">
        <f>VLOOKUP(A181,[1]ticket_pivot!$A$6:$V$127,7,FALSE)</f>
        <v>4996598.46</v>
      </c>
      <c r="P181" s="28">
        <f t="shared" si="62"/>
        <v>0.989852010917687</v>
      </c>
      <c r="Q181" s="27">
        <f>VLOOKUP(A181,[1]Sheet12!$A$5:$G$125,3,FALSE)</f>
        <v>6332704.23</v>
      </c>
      <c r="R181" s="27">
        <f>VLOOKUP(A181,[1]NPL!$A$5:$H$119,3,FALSE)</f>
        <v>2645727.88</v>
      </c>
      <c r="S181" s="28">
        <f t="shared" si="63"/>
        <v>0.417788007130723</v>
      </c>
      <c r="T181" s="27">
        <f>VLOOKUP(A181,[1]PAR!$A$5:$H$120,3,FALSE)</f>
        <v>3262152.53</v>
      </c>
    </row>
    <row r="182" spans="1:20">
      <c r="A182" s="24" t="s">
        <v>193</v>
      </c>
      <c r="B182" s="27">
        <f>VLOOKUP(A182,[1]ticket_pivot!$A$6:$V$127,2,FALSE)</f>
        <v>2490867.08</v>
      </c>
      <c r="C182" s="27">
        <f>VLOOKUP(A182,[1]ticket_pivot!$A$6:$V$127,3,FALSE)</f>
        <v>1333959.35</v>
      </c>
      <c r="D182" s="28">
        <f t="shared" si="57"/>
        <v>0.535540158168536</v>
      </c>
      <c r="E182" s="27">
        <f>VLOOKUP(A182,[1]ticket_pivot!$A$6:$V$127,4,FALSE)</f>
        <v>1270909.69</v>
      </c>
      <c r="F182" s="28">
        <f t="shared" si="58"/>
        <v>0.952734946533416</v>
      </c>
      <c r="G182" s="27">
        <f>VLOOKUP(A182,[1]Sheet12!$A$5:$G$125,2,FALSE)</f>
        <v>17507899.21</v>
      </c>
      <c r="H182" s="27">
        <f>VLOOKUP(A182,[1]NPL!$A$5:$H$119,2,FALSE)</f>
        <v>1098669.43</v>
      </c>
      <c r="I182" s="28">
        <f t="shared" si="59"/>
        <v>0.0627527847185956</v>
      </c>
      <c r="J182" s="27">
        <f>VLOOKUP(A182,[1]PAR!$A$5:$H$120,2,FALSE)</f>
        <v>1722779.52</v>
      </c>
      <c r="K182" s="28">
        <f t="shared" si="60"/>
        <v>0.0984001278129359</v>
      </c>
      <c r="L182" s="27">
        <f>VLOOKUP(A182,[1]ticket_pivot!$A$6:$V$127,5,FALSE)</f>
        <v>10242819.26</v>
      </c>
      <c r="M182" s="27">
        <f>VLOOKUP(A182,[1]ticket_pivot!$A$6:$V$127,6,FALSE)</f>
        <v>6849705.07</v>
      </c>
      <c r="N182" s="28">
        <f t="shared" si="61"/>
        <v>0.66873239643594</v>
      </c>
      <c r="O182" s="27">
        <f>VLOOKUP(A182,[1]ticket_pivot!$A$6:$V$127,7,FALSE)</f>
        <v>6825299.26</v>
      </c>
      <c r="P182" s="28">
        <f t="shared" si="62"/>
        <v>0.996436954620588</v>
      </c>
      <c r="Q182" s="27">
        <f>VLOOKUP(A182,[1]Sheet12!$A$5:$G$125,3,FALSE)</f>
        <v>25391659.78</v>
      </c>
      <c r="R182" s="27">
        <f>VLOOKUP(A182,[1]NPL!$A$5:$H$119,3,FALSE)</f>
        <v>2522595.39</v>
      </c>
      <c r="S182" s="28">
        <f t="shared" si="63"/>
        <v>0.0993474003612378</v>
      </c>
      <c r="T182" s="27">
        <f>VLOOKUP(A182,[1]PAR!$A$5:$H$120,3,FALSE)</f>
        <v>4731340.93</v>
      </c>
    </row>
    <row r="183" spans="1:20">
      <c r="A183" s="29" t="s">
        <v>194</v>
      </c>
      <c r="B183" s="30">
        <f>SUM(B181:B182)</f>
        <v>4649681.56</v>
      </c>
      <c r="C183" s="30">
        <f t="shared" ref="C183:T183" si="79">SUM(C181:C182)</f>
        <v>3075641.21</v>
      </c>
      <c r="D183" s="31">
        <f t="shared" si="57"/>
        <v>0.661473516048699</v>
      </c>
      <c r="E183" s="30">
        <f t="shared" si="79"/>
        <v>3011616.06</v>
      </c>
      <c r="F183" s="31">
        <f t="shared" si="58"/>
        <v>0.979183153811364</v>
      </c>
      <c r="G183" s="30">
        <f t="shared" si="79"/>
        <v>43533987.02</v>
      </c>
      <c r="H183" s="30">
        <f t="shared" si="79"/>
        <v>1121870.34</v>
      </c>
      <c r="I183" s="31">
        <f t="shared" si="59"/>
        <v>0.0257699883882586</v>
      </c>
      <c r="J183" s="30">
        <f t="shared" si="79"/>
        <v>2000312.46</v>
      </c>
      <c r="K183" s="31">
        <f t="shared" si="60"/>
        <v>0.0459482945837475</v>
      </c>
      <c r="L183" s="30">
        <f t="shared" si="79"/>
        <v>18333471.17</v>
      </c>
      <c r="M183" s="30">
        <f t="shared" si="79"/>
        <v>11897528.79</v>
      </c>
      <c r="N183" s="31">
        <f t="shared" si="61"/>
        <v>0.648951236766802</v>
      </c>
      <c r="O183" s="30">
        <f t="shared" si="79"/>
        <v>11821897.72</v>
      </c>
      <c r="P183" s="31">
        <f t="shared" si="62"/>
        <v>0.993643127801164</v>
      </c>
      <c r="Q183" s="30">
        <f t="shared" si="79"/>
        <v>31724364.01</v>
      </c>
      <c r="R183" s="30">
        <f t="shared" si="79"/>
        <v>5168323.27</v>
      </c>
      <c r="S183" s="31">
        <f t="shared" si="63"/>
        <v>0.162913376872453</v>
      </c>
      <c r="T183" s="30">
        <f t="shared" si="79"/>
        <v>7993493.46</v>
      </c>
    </row>
    <row r="184" spans="1:20">
      <c r="A184" s="32" t="s">
        <v>195</v>
      </c>
      <c r="B184" s="33">
        <f>SUM(B183,B180,B177)</f>
        <v>24926851.76</v>
      </c>
      <c r="C184" s="33">
        <f t="shared" ref="C184:T184" si="80">SUM(C183,C180,C177)</f>
        <v>17450263.57</v>
      </c>
      <c r="D184" s="34">
        <f t="shared" si="57"/>
        <v>0.700058865757061</v>
      </c>
      <c r="E184" s="33">
        <f t="shared" si="80"/>
        <v>16863563.16</v>
      </c>
      <c r="F184" s="34">
        <f t="shared" si="58"/>
        <v>0.966378707826016</v>
      </c>
      <c r="G184" s="33">
        <f t="shared" si="80"/>
        <v>206214564.09</v>
      </c>
      <c r="H184" s="33">
        <f t="shared" si="80"/>
        <v>6277484.69</v>
      </c>
      <c r="I184" s="34">
        <f t="shared" si="59"/>
        <v>0.0304415195779298</v>
      </c>
      <c r="J184" s="33">
        <f t="shared" si="80"/>
        <v>9541933.66</v>
      </c>
      <c r="K184" s="34">
        <f t="shared" si="60"/>
        <v>0.0462718707677481</v>
      </c>
      <c r="L184" s="33">
        <f t="shared" si="80"/>
        <v>61070182.18</v>
      </c>
      <c r="M184" s="33">
        <f t="shared" si="80"/>
        <v>46004240.21</v>
      </c>
      <c r="N184" s="34">
        <f t="shared" si="61"/>
        <v>0.753301178542513</v>
      </c>
      <c r="O184" s="33">
        <f t="shared" si="80"/>
        <v>45281035.28</v>
      </c>
      <c r="P184" s="34">
        <f t="shared" si="62"/>
        <v>0.984279602777946</v>
      </c>
      <c r="Q184" s="33">
        <f t="shared" si="80"/>
        <v>185641528.38</v>
      </c>
      <c r="R184" s="33">
        <f t="shared" si="80"/>
        <v>11027137.95</v>
      </c>
      <c r="S184" s="34">
        <f t="shared" si="63"/>
        <v>0.0594001678731492</v>
      </c>
      <c r="T184" s="33">
        <f t="shared" si="80"/>
        <v>16816002.1</v>
      </c>
    </row>
    <row r="185" spans="1:20">
      <c r="A185" s="35" t="s">
        <v>196</v>
      </c>
      <c r="B185" s="36">
        <f>SUM(B184,B173)</f>
        <v>42697241.95</v>
      </c>
      <c r="C185" s="36">
        <f t="shared" ref="C185:T185" si="81">SUM(C184,C173)</f>
        <v>30810826.98</v>
      </c>
      <c r="D185" s="37">
        <f t="shared" si="57"/>
        <v>0.721611644519817</v>
      </c>
      <c r="E185" s="36">
        <f t="shared" si="81"/>
        <v>29928533.93</v>
      </c>
      <c r="F185" s="37">
        <f t="shared" si="58"/>
        <v>0.971364187966369</v>
      </c>
      <c r="G185" s="36">
        <f t="shared" si="81"/>
        <v>364031511.5</v>
      </c>
      <c r="H185" s="36">
        <f t="shared" si="81"/>
        <v>8349239.16</v>
      </c>
      <c r="I185" s="37">
        <f t="shared" si="59"/>
        <v>0.0229354846936101</v>
      </c>
      <c r="J185" s="36">
        <f t="shared" si="81"/>
        <v>14604853.59</v>
      </c>
      <c r="K185" s="37">
        <f t="shared" si="60"/>
        <v>0.040119750979305</v>
      </c>
      <c r="L185" s="36">
        <f t="shared" si="81"/>
        <v>135190615.23</v>
      </c>
      <c r="M185" s="36">
        <f t="shared" si="81"/>
        <v>98366125.15</v>
      </c>
      <c r="N185" s="37">
        <f t="shared" si="61"/>
        <v>0.727610603610684</v>
      </c>
      <c r="O185" s="36">
        <f t="shared" si="81"/>
        <v>96644765.01</v>
      </c>
      <c r="P185" s="37">
        <f t="shared" si="62"/>
        <v>0.982500478316341</v>
      </c>
      <c r="Q185" s="36">
        <f t="shared" si="81"/>
        <v>510154469.79</v>
      </c>
      <c r="R185" s="36">
        <f t="shared" si="81"/>
        <v>29099768.93</v>
      </c>
      <c r="S185" s="37">
        <f t="shared" si="63"/>
        <v>0.0570410937337835</v>
      </c>
      <c r="T185" s="36">
        <f t="shared" si="81"/>
        <v>51199523.84</v>
      </c>
    </row>
    <row r="186" spans="1:20">
      <c r="A186" s="38" t="s">
        <v>197</v>
      </c>
      <c r="B186" s="39">
        <f>SUM(B185,B162,B114,B77,B50)</f>
        <v>363400229.26</v>
      </c>
      <c r="C186" s="39">
        <f>SUM(C185,C162,C114,C77,C50)</f>
        <v>247559021.77</v>
      </c>
      <c r="D186" s="40">
        <f t="shared" si="57"/>
        <v>0.681229679667814</v>
      </c>
      <c r="E186" s="39">
        <f t="shared" ref="E186:T186" si="82">SUM(E185,E162,E114,E77,E50)</f>
        <v>241679394.71</v>
      </c>
      <c r="F186" s="40">
        <f t="shared" si="58"/>
        <v>0.976249594872521</v>
      </c>
      <c r="G186" s="39">
        <f>SUM(G185,G162,G114,G77,G50)</f>
        <v>2991597627.28</v>
      </c>
      <c r="H186" s="39">
        <f t="shared" si="82"/>
        <v>79190314.97</v>
      </c>
      <c r="I186" s="40">
        <f t="shared" si="59"/>
        <v>0.0264709111438897</v>
      </c>
      <c r="J186" s="39">
        <f t="shared" si="82"/>
        <v>133349420.97</v>
      </c>
      <c r="K186" s="40">
        <f t="shared" si="60"/>
        <v>0.0445746512679391</v>
      </c>
      <c r="L186" s="39">
        <f t="shared" si="82"/>
        <v>1694790392.85</v>
      </c>
      <c r="M186" s="39">
        <f t="shared" si="82"/>
        <v>1226829484.22</v>
      </c>
      <c r="N186" s="40">
        <f t="shared" si="61"/>
        <v>0.723882722840395</v>
      </c>
      <c r="O186" s="39">
        <f t="shared" si="82"/>
        <v>1192659072.69</v>
      </c>
      <c r="P186" s="40">
        <f t="shared" si="62"/>
        <v>0.972147383177928</v>
      </c>
      <c r="Q186" s="39">
        <f t="shared" si="82"/>
        <v>5222211881.4</v>
      </c>
      <c r="R186" s="39">
        <f t="shared" si="82"/>
        <v>325137003.93</v>
      </c>
      <c r="S186" s="40">
        <f t="shared" si="63"/>
        <v>0.0622604006336938</v>
      </c>
      <c r="T186" s="39">
        <f t="shared" si="82"/>
        <v>588727480.22</v>
      </c>
    </row>
  </sheetData>
  <mergeCells count="2">
    <mergeCell ref="B1:J1"/>
    <mergeCell ref="L1:T1"/>
  </mergeCells>
  <conditionalFormatting sqref="D3:D185">
    <cfRule type="cellIs" dxfId="0" priority="7" operator="lessThan">
      <formula>0.681</formula>
    </cfRule>
  </conditionalFormatting>
  <conditionalFormatting sqref="F3:F185">
    <cfRule type="cellIs" dxfId="0" priority="6" operator="lessThan">
      <formula>0.976</formula>
    </cfRule>
  </conditionalFormatting>
  <conditionalFormatting sqref="I3:I185">
    <cfRule type="cellIs" dxfId="0" priority="5" operator="greaterThan">
      <formula>0.026</formula>
    </cfRule>
  </conditionalFormatting>
  <conditionalFormatting sqref="K3:K185">
    <cfRule type="cellIs" dxfId="0" priority="4" operator="greaterThan">
      <formula>0.045</formula>
    </cfRule>
  </conditionalFormatting>
  <conditionalFormatting sqref="N3:N185">
    <cfRule type="cellIs" dxfId="0" priority="3" operator="lessThan">
      <formula>0.724</formula>
    </cfRule>
  </conditionalFormatting>
  <conditionalFormatting sqref="P3:P185">
    <cfRule type="cellIs" dxfId="0" priority="2" operator="lessThan">
      <formula>0.972</formula>
    </cfRule>
  </conditionalFormatting>
  <conditionalFormatting sqref="S3:S185">
    <cfRule type="cellIs" dxfId="0" priority="1" operator="greaterThan">
      <formula>0.062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6"/>
  <sheetViews>
    <sheetView workbookViewId="0">
      <selection activeCell="C12" sqref="C12"/>
    </sheetView>
  </sheetViews>
  <sheetFormatPr defaultColWidth="9" defaultRowHeight="14.4"/>
  <cols>
    <col min="1" max="1" width="18.3611111111111" customWidth="1"/>
    <col min="2" max="3" width="11.4537037037037" customWidth="1"/>
    <col min="5" max="5" width="11.4537037037037" customWidth="1"/>
    <col min="7" max="7" width="12.2685185185185" customWidth="1"/>
    <col min="10" max="10" width="11" customWidth="1"/>
  </cols>
  <sheetData>
    <row r="1" spans="1:11">
      <c r="B1" s="20" t="s">
        <v>198</v>
      </c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7" t="s">
        <v>2</v>
      </c>
      <c r="B2" s="21" t="s">
        <v>3</v>
      </c>
      <c r="C2" s="21" t="s">
        <v>4</v>
      </c>
      <c r="D2" s="22" t="s">
        <v>5</v>
      </c>
      <c r="E2" s="21" t="s">
        <v>6</v>
      </c>
      <c r="F2" s="22" t="s">
        <v>7</v>
      </c>
      <c r="G2" s="23" t="s">
        <v>8</v>
      </c>
      <c r="H2" s="21" t="s">
        <v>9</v>
      </c>
      <c r="I2" s="22" t="s">
        <v>10</v>
      </c>
      <c r="J2" s="21" t="s">
        <v>11</v>
      </c>
      <c r="K2" s="22" t="s">
        <v>12</v>
      </c>
    </row>
    <row r="3" spans="1:11">
      <c r="A3" s="24" t="s">
        <v>14</v>
      </c>
      <c r="B3" s="25">
        <f>VLOOKUP(A3,[2]ticket_pivot!$A$6:$V$127,2,FALSE)</f>
        <v>18554968.26</v>
      </c>
      <c r="C3" s="25">
        <f>VLOOKUP(A3,[2]ticket_pivot!$A$6:$V$127,3,FALSE)</f>
        <v>10124187.95</v>
      </c>
      <c r="D3" s="26">
        <f t="shared" ref="D3:D59" si="0">IFERROR(C3/B3,"")</f>
        <v>0.545632189079261</v>
      </c>
      <c r="E3" s="25">
        <f>VLOOKUP(A3,[2]ticket_pivot!$A$6:$V$127,4,FALSE)</f>
        <v>10003180.86</v>
      </c>
      <c r="F3" s="26">
        <f t="shared" ref="F3:F59" si="1">IFERROR(E3/C3,"")</f>
        <v>0.988047723867078</v>
      </c>
      <c r="G3" s="25">
        <f>VLOOKUP(A3,[2]Sheet12!$A$5:$G$125,2,FALSE)</f>
        <v>155417824.53</v>
      </c>
      <c r="H3" s="25" t="str">
        <f>IFERROR(VLOOKUP(A3,[2]NPL!$A$4:$H$119,2,FALSE),"")</f>
        <v/>
      </c>
      <c r="I3" s="26" t="str">
        <f t="shared" ref="I3:I66" si="2">IFERROR(H3/G3,"")</f>
        <v/>
      </c>
      <c r="J3" s="25">
        <f>VLOOKUP(A3,[2]PAR!$A$5:$H$120,2,FALSE)</f>
        <v>2364944.8</v>
      </c>
      <c r="K3" s="26">
        <f t="shared" ref="K3:K66" si="3">IFERROR(J3/G3,"")</f>
        <v>0.0152166896374457</v>
      </c>
    </row>
    <row r="4" spans="1:11">
      <c r="A4" s="24" t="s">
        <v>15</v>
      </c>
      <c r="B4" s="27">
        <f>VLOOKUP(A4,[2]ticket_pivot!$A$6:$V$127,2,FALSE)</f>
        <v>9783047.67</v>
      </c>
      <c r="C4" s="27">
        <f>VLOOKUP(A4,[2]ticket_pivot!$A$6:$V$127,3,FALSE)</f>
        <v>6113427.73</v>
      </c>
      <c r="D4" s="28">
        <f t="shared" si="0"/>
        <v>0.624900126853823</v>
      </c>
      <c r="E4" s="27">
        <f>VLOOKUP(A4,[2]ticket_pivot!$A$6:$V$127,4,FALSE)</f>
        <v>6017423.43</v>
      </c>
      <c r="F4" s="28">
        <f t="shared" si="1"/>
        <v>0.984296158515315</v>
      </c>
      <c r="G4" s="27">
        <f>VLOOKUP(A4,[2]Sheet12!$A$5:$G$125,2,FALSE)</f>
        <v>131198050.43</v>
      </c>
      <c r="H4" s="27" t="str">
        <f>IFERROR(VLOOKUP(A4,[2]NPL!$A$5:$H$119,2,FALSE),"")</f>
        <v/>
      </c>
      <c r="I4" s="28" t="str">
        <f t="shared" si="2"/>
        <v/>
      </c>
      <c r="J4" s="27"/>
      <c r="K4" s="28">
        <f t="shared" si="3"/>
        <v>0</v>
      </c>
    </row>
    <row r="5" spans="1:11">
      <c r="A5" s="29" t="s">
        <v>16</v>
      </c>
      <c r="B5" s="30">
        <f>SUM(B3:B4)</f>
        <v>28338015.93</v>
      </c>
      <c r="C5" s="30">
        <f>SUM(C3:C4)</f>
        <v>16237615.68</v>
      </c>
      <c r="D5" s="31">
        <f t="shared" si="0"/>
        <v>0.572997619879594</v>
      </c>
      <c r="E5" s="30">
        <f>SUM(E3:E4)</f>
        <v>16020604.29</v>
      </c>
      <c r="F5" s="31">
        <f t="shared" si="1"/>
        <v>0.986635267500062</v>
      </c>
      <c r="G5" s="30">
        <f>SUM(G3:G4)</f>
        <v>286615874.96</v>
      </c>
      <c r="H5" s="30">
        <f>SUM(H3:H4)</f>
        <v>0</v>
      </c>
      <c r="I5" s="31">
        <f t="shared" si="2"/>
        <v>0</v>
      </c>
      <c r="J5" s="30">
        <f>SUM(J3:J4)</f>
        <v>2364944.8</v>
      </c>
      <c r="K5" s="31">
        <f t="shared" si="3"/>
        <v>0.00825126940484385</v>
      </c>
    </row>
    <row r="6" spans="1:11">
      <c r="A6" s="24" t="s">
        <v>17</v>
      </c>
      <c r="B6" s="27">
        <f>VLOOKUP(A6,[2]ticket_pivot!$A$6:$V$127,2,FALSE)</f>
        <v>9903095.25</v>
      </c>
      <c r="C6" s="27">
        <f>VLOOKUP(A6,[2]ticket_pivot!$A$6:$V$127,3,FALSE)</f>
        <v>9550463.57</v>
      </c>
      <c r="D6" s="28">
        <f t="shared" si="0"/>
        <v>0.964391771350477</v>
      </c>
      <c r="E6" s="27">
        <f>VLOOKUP(A6,[2]ticket_pivot!$A$6:$V$127,4,FALSE)</f>
        <v>8209262.2</v>
      </c>
      <c r="F6" s="28">
        <f t="shared" si="1"/>
        <v>0.859566882783261</v>
      </c>
      <c r="G6" s="27">
        <f>VLOOKUP(A6,[2]Sheet12!$A$5:$G$125,2,FALSE)</f>
        <v>189901499.38</v>
      </c>
      <c r="H6" s="27" t="str">
        <f>IFERROR(VLOOKUP(A6,[2]NPL!$A$5:$H$119,2,FALSE),"")</f>
        <v/>
      </c>
      <c r="I6" s="28" t="str">
        <f t="shared" si="2"/>
        <v/>
      </c>
      <c r="J6" s="27">
        <f>VLOOKUP(A6,[2]PAR!$A$5:$H$120,2,FALSE)</f>
        <v>847652</v>
      </c>
      <c r="K6" s="28">
        <f t="shared" si="3"/>
        <v>0.00446364037549707</v>
      </c>
    </row>
    <row r="7" spans="1:11">
      <c r="A7" s="24" t="s">
        <v>18</v>
      </c>
      <c r="B7" s="25">
        <f>VLOOKUP(A7,[2]ticket_pivot!$A$6:$V$127,2,FALSE)</f>
        <v>8755906</v>
      </c>
      <c r="C7" s="25">
        <f>VLOOKUP(A7,[2]ticket_pivot!$A$6:$V$127,3,FALSE)</f>
        <v>8394281.58</v>
      </c>
      <c r="D7" s="26">
        <f t="shared" si="0"/>
        <v>0.958699371601294</v>
      </c>
      <c r="E7" s="25">
        <f>VLOOKUP(A7,[2]ticket_pivot!$A$6:$V$127,4,FALSE)</f>
        <v>8338238.82</v>
      </c>
      <c r="F7" s="26">
        <f t="shared" si="1"/>
        <v>0.993323697869092</v>
      </c>
      <c r="G7" s="25">
        <f>VLOOKUP(A7,[2]Sheet12!$A$5:$G$125,2,FALSE)</f>
        <v>154958967.89</v>
      </c>
      <c r="H7" s="25"/>
      <c r="I7" s="26">
        <f t="shared" si="2"/>
        <v>0</v>
      </c>
      <c r="J7" s="25">
        <f>VLOOKUP(A7,[2]PAR!$A$5:$H$120,2,FALSE)</f>
        <v>909654.32</v>
      </c>
      <c r="K7" s="26">
        <f t="shared" si="3"/>
        <v>0.0058702915512817</v>
      </c>
    </row>
    <row r="8" spans="1:11">
      <c r="A8" s="29" t="s">
        <v>19</v>
      </c>
      <c r="B8" s="30">
        <f>SUM(B6:B7)</f>
        <v>18659001.25</v>
      </c>
      <c r="C8" s="30">
        <f>SUM(C6:C7)</f>
        <v>17944745.15</v>
      </c>
      <c r="D8" s="31">
        <f t="shared" si="0"/>
        <v>0.961720561008055</v>
      </c>
      <c r="E8" s="30">
        <f>SUM(E6:E7)</f>
        <v>16547501.02</v>
      </c>
      <c r="F8" s="31">
        <f t="shared" si="1"/>
        <v>0.922136306850811</v>
      </c>
      <c r="G8" s="30">
        <f>SUM(G6:G7)</f>
        <v>344860467.27</v>
      </c>
      <c r="H8" s="30"/>
      <c r="I8" s="31">
        <f t="shared" si="2"/>
        <v>0</v>
      </c>
      <c r="J8" s="30">
        <f>SUM(J6:J7)</f>
        <v>1757306.32</v>
      </c>
      <c r="K8" s="31">
        <f t="shared" si="3"/>
        <v>0.00509570242687214</v>
      </c>
    </row>
    <row r="9" spans="1:11">
      <c r="A9" s="24" t="s">
        <v>20</v>
      </c>
      <c r="B9" s="27">
        <f>VLOOKUP(A9,[2]ticket_pivot!$A$6:$V$127,2,FALSE)</f>
        <v>6593385.47</v>
      </c>
      <c r="C9" s="27">
        <f>VLOOKUP(A9,[2]ticket_pivot!$A$6:$V$127,3,FALSE)</f>
        <v>4837610.24</v>
      </c>
      <c r="D9" s="28">
        <f t="shared" si="0"/>
        <v>0.733706570321301</v>
      </c>
      <c r="E9" s="27">
        <f>VLOOKUP(A9,[2]ticket_pivot!$A$6:$V$127,4,FALSE)</f>
        <v>4761570.27</v>
      </c>
      <c r="F9" s="28">
        <f t="shared" si="1"/>
        <v>0.984281501355512</v>
      </c>
      <c r="G9" s="27">
        <f>VLOOKUP(A9,[2]Sheet12!$A$5:$G$125,2,FALSE)</f>
        <v>78811240.45</v>
      </c>
      <c r="H9" s="27"/>
      <c r="I9" s="28">
        <f t="shared" si="2"/>
        <v>0</v>
      </c>
      <c r="J9" s="27">
        <f>VLOOKUP(A9,[2]PAR!$A$5:$H$120,2,FALSE)</f>
        <v>1701747.29</v>
      </c>
      <c r="K9" s="28">
        <f t="shared" si="3"/>
        <v>0.021592697694939</v>
      </c>
    </row>
    <row r="10" spans="1:11">
      <c r="A10" s="24" t="s">
        <v>21</v>
      </c>
      <c r="B10" s="27">
        <f>VLOOKUP(A10,[2]ticket_pivot!$A$6:$V$127,2,FALSE)</f>
        <v>19464762.37</v>
      </c>
      <c r="C10" s="27">
        <f>VLOOKUP(A10,[2]ticket_pivot!$A$6:$V$127,3,FALSE)</f>
        <v>11558700.58</v>
      </c>
      <c r="D10" s="28">
        <f t="shared" si="0"/>
        <v>0.593826955617748</v>
      </c>
      <c r="E10" s="27">
        <f>VLOOKUP(A10,[2]ticket_pivot!$A$6:$V$127,4,FALSE)</f>
        <v>11474189.93</v>
      </c>
      <c r="F10" s="28">
        <f t="shared" si="1"/>
        <v>0.992688568285416</v>
      </c>
      <c r="G10" s="27">
        <f>VLOOKUP(A10,[2]Sheet12!$A$5:$G$125,2,FALSE)</f>
        <v>156043398.1</v>
      </c>
      <c r="H10" s="27"/>
      <c r="I10" s="28">
        <f t="shared" si="2"/>
        <v>0</v>
      </c>
      <c r="J10" s="27"/>
      <c r="K10" s="28">
        <f t="shared" si="3"/>
        <v>0</v>
      </c>
    </row>
    <row r="11" spans="1:11">
      <c r="A11" s="24" t="s">
        <v>22</v>
      </c>
      <c r="B11" s="27">
        <f>VLOOKUP(A11,[2]ticket_pivot!$A$6:$V$127,2,FALSE)</f>
        <v>9414048.63</v>
      </c>
      <c r="C11" s="27">
        <f>VLOOKUP(A11,[2]ticket_pivot!$A$6:$V$127,3,FALSE)</f>
        <v>9429382.41</v>
      </c>
      <c r="D11" s="28">
        <f t="shared" si="0"/>
        <v>1.00162881886451</v>
      </c>
      <c r="E11" s="27">
        <f>VLOOKUP(A11,[2]ticket_pivot!$A$6:$V$127,4,FALSE)</f>
        <v>9414048.63</v>
      </c>
      <c r="F11" s="28">
        <f t="shared" si="1"/>
        <v>0.998373829872067</v>
      </c>
      <c r="G11" s="27">
        <f>VLOOKUP(A11,[2]Sheet12!$A$5:$G$125,2,FALSE)</f>
        <v>157443463.33</v>
      </c>
      <c r="H11" s="27"/>
      <c r="I11" s="28">
        <f t="shared" si="2"/>
        <v>0</v>
      </c>
      <c r="J11" s="27"/>
      <c r="K11" s="28">
        <f t="shared" si="3"/>
        <v>0</v>
      </c>
    </row>
    <row r="12" spans="1:11">
      <c r="A12" s="29" t="s">
        <v>23</v>
      </c>
      <c r="B12" s="30">
        <f>SUM(B9:B11)</f>
        <v>35472196.47</v>
      </c>
      <c r="C12" s="30">
        <f>SUM(C9:C11)</f>
        <v>25825693.23</v>
      </c>
      <c r="D12" s="31">
        <f t="shared" si="0"/>
        <v>0.728054527208137</v>
      </c>
      <c r="E12" s="30">
        <f>SUM(E9:E11)</f>
        <v>25649808.83</v>
      </c>
      <c r="F12" s="31">
        <f t="shared" si="1"/>
        <v>0.993189557452201</v>
      </c>
      <c r="G12" s="30">
        <f>SUM(G9:G11)</f>
        <v>392298101.88</v>
      </c>
      <c r="H12" s="30"/>
      <c r="I12" s="31">
        <f t="shared" si="2"/>
        <v>0</v>
      </c>
      <c r="J12" s="30">
        <f>SUM(J9:J11)</f>
        <v>1701747.29</v>
      </c>
      <c r="K12" s="31">
        <f t="shared" si="3"/>
        <v>0.00433789325475897</v>
      </c>
    </row>
    <row r="13" spans="1:11">
      <c r="A13" s="32" t="s">
        <v>24</v>
      </c>
      <c r="B13" s="33">
        <f>SUM(B12,B8,B5)</f>
        <v>82469213.65</v>
      </c>
      <c r="C13" s="33">
        <f>SUM(C12,C8,C5)</f>
        <v>60008054.06</v>
      </c>
      <c r="D13" s="34">
        <f t="shared" si="0"/>
        <v>0.7276418848211</v>
      </c>
      <c r="E13" s="33">
        <f>SUM(E12,E8,E5)</f>
        <v>58217914.14</v>
      </c>
      <c r="F13" s="34">
        <f t="shared" si="1"/>
        <v>0.97016833909978</v>
      </c>
      <c r="G13" s="33">
        <f>SUM(G12,G8,G5)</f>
        <v>1023774444.11</v>
      </c>
      <c r="H13" s="33"/>
      <c r="I13" s="34">
        <f t="shared" si="2"/>
        <v>0</v>
      </c>
      <c r="J13" s="33">
        <f>SUM(J12,J8,J5)</f>
        <v>5823998.41</v>
      </c>
      <c r="K13" s="34">
        <f t="shared" si="3"/>
        <v>0.00568875150528199</v>
      </c>
    </row>
    <row r="14" spans="1:11">
      <c r="A14" s="24" t="s">
        <v>25</v>
      </c>
      <c r="B14" s="27">
        <f>VLOOKUP(A14,[2]ticket_pivot!$A$6:$V$127,2,FALSE)</f>
        <v>5640782.82</v>
      </c>
      <c r="C14" s="27">
        <f>VLOOKUP(A14,[2]ticket_pivot!$A$6:$V$127,3,FALSE)</f>
        <v>5903182.47</v>
      </c>
      <c r="D14" s="28">
        <f t="shared" si="0"/>
        <v>1.04651830399668</v>
      </c>
      <c r="E14" s="27">
        <f>VLOOKUP(A14,[2]ticket_pivot!$A$6:$V$127,4,FALSE)</f>
        <v>5442809.08</v>
      </c>
      <c r="F14" s="28">
        <f t="shared" si="1"/>
        <v>0.922012678357882</v>
      </c>
      <c r="G14" s="27">
        <f>VLOOKUP(A14,[2]Sheet12!$A$5:$G$125,2,FALSE)</f>
        <v>87055034.14</v>
      </c>
      <c r="H14" s="27"/>
      <c r="I14" s="28">
        <f t="shared" si="2"/>
        <v>0</v>
      </c>
      <c r="J14" s="27">
        <f>VLOOKUP(A14,[2]PAR!$A$5:$H$120,2,FALSE)</f>
        <v>1300374.72</v>
      </c>
      <c r="K14" s="28">
        <f t="shared" si="3"/>
        <v>0.0149373868248534</v>
      </c>
    </row>
    <row r="15" spans="1:11">
      <c r="A15" s="24" t="s">
        <v>26</v>
      </c>
      <c r="B15" s="27">
        <f>VLOOKUP(A15,[2]ticket_pivot!$A$6:$V$127,2,FALSE)</f>
        <v>12797645.97</v>
      </c>
      <c r="C15" s="27">
        <f>VLOOKUP(A15,[2]ticket_pivot!$A$6:$V$127,3,FALSE)</f>
        <v>10380049.09</v>
      </c>
      <c r="D15" s="28">
        <f t="shared" si="0"/>
        <v>0.811090501669816</v>
      </c>
      <c r="E15" s="27">
        <f>VLOOKUP(A15,[2]ticket_pivot!$A$6:$V$127,4,FALSE)</f>
        <v>10370874.03</v>
      </c>
      <c r="F15" s="28">
        <f t="shared" si="1"/>
        <v>0.999116087031916</v>
      </c>
      <c r="G15" s="27">
        <f>VLOOKUP(A15,[2]Sheet12!$A$5:$G$125,2,FALSE)</f>
        <v>113605953.15</v>
      </c>
      <c r="H15" s="27"/>
      <c r="I15" s="28">
        <f t="shared" si="2"/>
        <v>0</v>
      </c>
      <c r="J15" s="27"/>
      <c r="K15" s="28">
        <f t="shared" si="3"/>
        <v>0</v>
      </c>
    </row>
    <row r="16" spans="1:11">
      <c r="A16" s="24" t="s">
        <v>27</v>
      </c>
      <c r="B16" s="27">
        <f>VLOOKUP(A16,[2]ticket_pivot!$A$6:$V$127,2,FALSE)</f>
        <v>25224951.44</v>
      </c>
      <c r="C16" s="27">
        <f>VLOOKUP(A16,[2]ticket_pivot!$A$6:$V$127,3,FALSE)</f>
        <v>13806909.64</v>
      </c>
      <c r="D16" s="28">
        <f t="shared" si="0"/>
        <v>0.547351287190427</v>
      </c>
      <c r="E16" s="27">
        <f>VLOOKUP(A16,[2]ticket_pivot!$A$6:$V$127,4,FALSE)</f>
        <v>13655770.66</v>
      </c>
      <c r="F16" s="28">
        <f t="shared" si="1"/>
        <v>0.98905338095629</v>
      </c>
      <c r="G16" s="27">
        <f>VLOOKUP(A16,[2]Sheet12!$A$5:$G$125,2,FALSE)</f>
        <v>146409432.89</v>
      </c>
      <c r="H16" s="27"/>
      <c r="I16" s="28">
        <f t="shared" si="2"/>
        <v>0</v>
      </c>
      <c r="J16" s="27">
        <f>VLOOKUP(A16,[2]PAR!$A$5:$H$120,2,FALSE)</f>
        <v>873043.67</v>
      </c>
      <c r="K16" s="28">
        <f t="shared" si="3"/>
        <v>0.00596302883473316</v>
      </c>
    </row>
    <row r="17" spans="1:11">
      <c r="A17" s="24" t="s">
        <v>28</v>
      </c>
      <c r="B17" s="27">
        <f>VLOOKUP(A17,[2]ticket_pivot!$A$6:$V$127,2,FALSE)</f>
        <v>20683377.61</v>
      </c>
      <c r="C17" s="27">
        <f>VLOOKUP(A17,[2]ticket_pivot!$A$6:$V$127,3,FALSE)</f>
        <v>11103354.88</v>
      </c>
      <c r="D17" s="28">
        <f t="shared" si="0"/>
        <v>0.536825033578256</v>
      </c>
      <c r="E17" s="27">
        <f>VLOOKUP(A17,[2]ticket_pivot!$A$6:$V$127,4,FALSE)</f>
        <v>11097658.01</v>
      </c>
      <c r="F17" s="28">
        <f t="shared" si="1"/>
        <v>0.999486923541437</v>
      </c>
      <c r="G17" s="27">
        <f>VLOOKUP(A17,[2]Sheet12!$A$5:$G$125,2,FALSE)</f>
        <v>75857193.82</v>
      </c>
      <c r="H17" s="27"/>
      <c r="I17" s="28">
        <f t="shared" si="2"/>
        <v>0</v>
      </c>
      <c r="J17" s="27"/>
      <c r="K17" s="28">
        <f t="shared" si="3"/>
        <v>0</v>
      </c>
    </row>
    <row r="18" spans="1:11">
      <c r="A18" s="29" t="s">
        <v>29</v>
      </c>
      <c r="B18" s="30">
        <f>SUM(B14:B17)</f>
        <v>64346757.84</v>
      </c>
      <c r="C18" s="30">
        <f>SUM(C14:C17)</f>
        <v>41193496.08</v>
      </c>
      <c r="D18" s="31">
        <f t="shared" si="0"/>
        <v>0.640179823549599</v>
      </c>
      <c r="E18" s="30">
        <f>SUM(E14:E17)</f>
        <v>40567111.78</v>
      </c>
      <c r="F18" s="31">
        <f t="shared" si="1"/>
        <v>0.984794097136511</v>
      </c>
      <c r="G18" s="30">
        <f>SUM(G14:G17)</f>
        <v>422927614</v>
      </c>
      <c r="H18" s="30"/>
      <c r="I18" s="31">
        <f t="shared" si="2"/>
        <v>0</v>
      </c>
      <c r="J18" s="30">
        <f>SUM(J14:J17)</f>
        <v>2173418.39</v>
      </c>
      <c r="K18" s="31">
        <f t="shared" si="3"/>
        <v>0.00513898435111404</v>
      </c>
    </row>
    <row r="19" spans="1:11">
      <c r="A19" s="24" t="s">
        <v>30</v>
      </c>
      <c r="B19" s="25">
        <f>VLOOKUP(A19,[2]ticket_pivot!$A$6:$V$127,2,FALSE)</f>
        <v>12307518.19</v>
      </c>
      <c r="C19" s="25">
        <f>VLOOKUP(A19,[2]ticket_pivot!$A$6:$V$127,3,FALSE)</f>
        <v>12244740.13</v>
      </c>
      <c r="D19" s="26">
        <f t="shared" si="0"/>
        <v>0.994899210463811</v>
      </c>
      <c r="E19" s="25">
        <f>VLOOKUP(A19,[2]ticket_pivot!$A$6:$V$127,4,FALSE)</f>
        <v>12183699.16</v>
      </c>
      <c r="F19" s="26">
        <f t="shared" si="1"/>
        <v>0.995014923195435</v>
      </c>
      <c r="G19" s="25">
        <f>VLOOKUP(A19,[2]Sheet12!$A$5:$G$125,2,FALSE)</f>
        <v>170675582.37</v>
      </c>
      <c r="H19" s="25"/>
      <c r="I19" s="26">
        <f t="shared" si="2"/>
        <v>0</v>
      </c>
      <c r="J19" s="25">
        <f>VLOOKUP(A19,[2]PAR!$A$5:$H$120,2,FALSE)</f>
        <v>644738</v>
      </c>
      <c r="K19" s="26">
        <f t="shared" si="3"/>
        <v>0.00377756437708999</v>
      </c>
    </row>
    <row r="20" spans="1:11">
      <c r="A20" s="24" t="s">
        <v>31</v>
      </c>
      <c r="B20" s="27">
        <f>VLOOKUP(A20,[2]ticket_pivot!$A$6:$V$127,2,FALSE)</f>
        <v>9477289.56</v>
      </c>
      <c r="C20" s="27">
        <f>VLOOKUP(A20,[2]ticket_pivot!$A$6:$V$127,3,FALSE)</f>
        <v>8762651.44</v>
      </c>
      <c r="D20" s="28">
        <f t="shared" si="0"/>
        <v>0.924594672825423</v>
      </c>
      <c r="E20" s="27">
        <f>VLOOKUP(A20,[2]ticket_pivot!$A$6:$V$127,4,FALSE)</f>
        <v>8752405.86</v>
      </c>
      <c r="F20" s="28">
        <f t="shared" si="1"/>
        <v>0.998830767140499</v>
      </c>
      <c r="G20" s="27">
        <f>VLOOKUP(A20,[2]Sheet12!$A$5:$G$125,2,FALSE)</f>
        <v>125527437.04</v>
      </c>
      <c r="H20" s="27"/>
      <c r="I20" s="28">
        <f t="shared" si="2"/>
        <v>0</v>
      </c>
      <c r="J20" s="27">
        <f>VLOOKUP(A20,[2]PAR!$A$5:$H$120,2,FALSE)</f>
        <v>4657566.4</v>
      </c>
      <c r="K20" s="28">
        <f t="shared" si="3"/>
        <v>0.0371039711303581</v>
      </c>
    </row>
    <row r="21" spans="1:11">
      <c r="A21" s="24" t="s">
        <v>32</v>
      </c>
      <c r="B21" s="27">
        <f>VLOOKUP(A21,[2]ticket_pivot!$A$6:$V$127,2,FALSE)</f>
        <v>8642789.78</v>
      </c>
      <c r="C21" s="27">
        <f>VLOOKUP(A21,[2]ticket_pivot!$A$6:$V$127,3,FALSE)</f>
        <v>8533524.45</v>
      </c>
      <c r="D21" s="28">
        <f t="shared" si="0"/>
        <v>0.987357631877979</v>
      </c>
      <c r="E21" s="27">
        <f>VLOOKUP(A21,[2]ticket_pivot!$A$6:$V$127,4,FALSE)</f>
        <v>8525561.18</v>
      </c>
      <c r="F21" s="28">
        <f t="shared" si="1"/>
        <v>0.99906682519671</v>
      </c>
      <c r="G21" s="27">
        <f>VLOOKUP(A21,[2]Sheet12!$A$5:$G$125,2,FALSE)</f>
        <v>123870959.86</v>
      </c>
      <c r="H21" s="27"/>
      <c r="I21" s="28">
        <f t="shared" si="2"/>
        <v>0</v>
      </c>
      <c r="J21" s="27"/>
      <c r="K21" s="28">
        <f t="shared" si="3"/>
        <v>0</v>
      </c>
    </row>
    <row r="22" spans="1:11">
      <c r="A22" s="24" t="s">
        <v>33</v>
      </c>
      <c r="B22" s="27">
        <f>VLOOKUP(A22,[2]ticket_pivot!$A$6:$V$127,2,FALSE)</f>
        <v>6027729.24</v>
      </c>
      <c r="C22" s="27">
        <f>VLOOKUP(A22,[2]ticket_pivot!$A$6:$V$127,3,FALSE)</f>
        <v>5956675.87</v>
      </c>
      <c r="D22" s="28">
        <f t="shared" si="0"/>
        <v>0.988212249228368</v>
      </c>
      <c r="E22" s="27">
        <f>VLOOKUP(A22,[2]ticket_pivot!$A$6:$V$127,4,FALSE)</f>
        <v>5948935.89</v>
      </c>
      <c r="F22" s="28">
        <f t="shared" si="1"/>
        <v>0.998700620921984</v>
      </c>
      <c r="G22" s="27">
        <f>VLOOKUP(A22,[2]Sheet12!$A$5:$G$125,2,FALSE)</f>
        <v>87674571.76</v>
      </c>
      <c r="H22" s="27"/>
      <c r="I22" s="28">
        <f t="shared" si="2"/>
        <v>0</v>
      </c>
      <c r="J22" s="27"/>
      <c r="K22" s="28">
        <f t="shared" si="3"/>
        <v>0</v>
      </c>
    </row>
    <row r="23" spans="1:11">
      <c r="A23" s="24" t="s">
        <v>34</v>
      </c>
      <c r="B23" s="25">
        <f>VLOOKUP(A23,[2]ticket_pivot!$A$6:$V$127,2,FALSE)</f>
        <v>10790109.77</v>
      </c>
      <c r="C23" s="25">
        <f>VLOOKUP(A23,[2]ticket_pivot!$A$6:$V$127,3,FALSE)</f>
        <v>10806540.45</v>
      </c>
      <c r="D23" s="26">
        <f t="shared" si="0"/>
        <v>1.00152275373933</v>
      </c>
      <c r="E23" s="25">
        <f>VLOOKUP(A23,[2]ticket_pivot!$A$6:$V$127,4,FALSE)</f>
        <v>10789363.09</v>
      </c>
      <c r="F23" s="26">
        <f t="shared" si="1"/>
        <v>0.998410466320884</v>
      </c>
      <c r="G23" s="25">
        <f>VLOOKUP(A23,[2]Sheet12!$A$5:$G$125,2,FALSE)</f>
        <v>161496606.03</v>
      </c>
      <c r="H23" s="25"/>
      <c r="I23" s="26">
        <f t="shared" si="2"/>
        <v>0</v>
      </c>
      <c r="J23" s="25"/>
      <c r="K23" s="26">
        <f t="shared" si="3"/>
        <v>0</v>
      </c>
    </row>
    <row r="24" spans="1:11">
      <c r="A24" s="29" t="s">
        <v>35</v>
      </c>
      <c r="B24" s="30">
        <f>SUM(B19:B23)</f>
        <v>47245436.54</v>
      </c>
      <c r="C24" s="30">
        <f>SUM(C19:C23)</f>
        <v>46304132.34</v>
      </c>
      <c r="D24" s="31">
        <f t="shared" si="0"/>
        <v>0.980076293734675</v>
      </c>
      <c r="E24" s="30">
        <f>SUM(E19:E23)</f>
        <v>46199965.18</v>
      </c>
      <c r="F24" s="31">
        <f t="shared" si="1"/>
        <v>0.997750370113079</v>
      </c>
      <c r="G24" s="30">
        <f>SUM(G19:G23)</f>
        <v>669245157.06</v>
      </c>
      <c r="H24" s="30"/>
      <c r="I24" s="31">
        <f t="shared" si="2"/>
        <v>0</v>
      </c>
      <c r="J24" s="30">
        <f>SUM(J20:J23)</f>
        <v>4657566.4</v>
      </c>
      <c r="K24" s="31">
        <f t="shared" si="3"/>
        <v>0.00695943235579131</v>
      </c>
    </row>
    <row r="25" spans="1:11">
      <c r="A25" s="24" t="s">
        <v>36</v>
      </c>
      <c r="B25" s="27">
        <f>VLOOKUP(A25,[2]ticket_pivot!$A$6:$V$127,2,FALSE)</f>
        <v>4861988.84</v>
      </c>
      <c r="C25" s="27">
        <f>VLOOKUP(A25,[2]ticket_pivot!$A$6:$V$127,3,FALSE)</f>
        <v>4854331.91</v>
      </c>
      <c r="D25" s="28">
        <f t="shared" si="0"/>
        <v>0.99842514447236</v>
      </c>
      <c r="E25" s="27">
        <f>VLOOKUP(A25,[2]ticket_pivot!$A$6:$V$127,4,FALSE)</f>
        <v>4849235.25</v>
      </c>
      <c r="F25" s="28">
        <f t="shared" si="1"/>
        <v>0.998950080032743</v>
      </c>
      <c r="G25" s="27">
        <f>VLOOKUP(A25,[2]Sheet12!$A$5:$G$125,2,FALSE)</f>
        <v>65294598.5</v>
      </c>
      <c r="H25" s="27"/>
      <c r="I25" s="28">
        <f t="shared" si="2"/>
        <v>0</v>
      </c>
      <c r="J25" s="27"/>
      <c r="K25" s="28">
        <f t="shared" si="3"/>
        <v>0</v>
      </c>
    </row>
    <row r="26" spans="1:11">
      <c r="A26" s="24" t="s">
        <v>37</v>
      </c>
      <c r="B26" s="27">
        <f>VLOOKUP(A26,[2]ticket_pivot!$A$6:$V$127,2,FALSE)</f>
        <v>9916197.13</v>
      </c>
      <c r="C26" s="27">
        <f>VLOOKUP(A26,[2]ticket_pivot!$A$6:$V$127,3,FALSE)</f>
        <v>9576352.81</v>
      </c>
      <c r="D26" s="28">
        <f t="shared" si="0"/>
        <v>0.965728361836227</v>
      </c>
      <c r="E26" s="27">
        <f>VLOOKUP(A26,[2]ticket_pivot!$A$6:$V$127,4,FALSE)</f>
        <v>9543675.21</v>
      </c>
      <c r="F26" s="28">
        <f t="shared" si="1"/>
        <v>0.996587677934561</v>
      </c>
      <c r="G26" s="27">
        <f>VLOOKUP(A26,[2]Sheet12!$A$5:$G$125,2,FALSE)</f>
        <v>146580849.26</v>
      </c>
      <c r="H26" s="27"/>
      <c r="I26" s="28">
        <f t="shared" si="2"/>
        <v>0</v>
      </c>
      <c r="J26" s="27">
        <f>VLOOKUP(A26,[2]PAR!$A$5:$H$120,2,FALSE)</f>
        <v>1573589.7</v>
      </c>
      <c r="K26" s="28">
        <f t="shared" si="3"/>
        <v>0.0107353021076363</v>
      </c>
    </row>
    <row r="27" spans="1:11">
      <c r="A27" s="24" t="s">
        <v>38</v>
      </c>
      <c r="B27" s="27">
        <f>VLOOKUP(A27,[2]ticket_pivot!$A$6:$V$127,2,FALSE)</f>
        <v>6401684.34</v>
      </c>
      <c r="C27" s="27">
        <f>VLOOKUP(A27,[2]ticket_pivot!$A$6:$V$127,3,FALSE)</f>
        <v>6288205.81</v>
      </c>
      <c r="D27" s="28">
        <f t="shared" si="0"/>
        <v>0.982273644876405</v>
      </c>
      <c r="E27" s="27">
        <f>VLOOKUP(A27,[2]ticket_pivot!$A$6:$V$127,4,FALSE)</f>
        <v>6256898.12</v>
      </c>
      <c r="F27" s="28">
        <f t="shared" si="1"/>
        <v>0.995021204625616</v>
      </c>
      <c r="G27" s="27">
        <f>VLOOKUP(A27,[2]Sheet12!$A$5:$G$125,2,FALSE)</f>
        <v>85997455.26</v>
      </c>
      <c r="H27" s="27"/>
      <c r="I27" s="28">
        <f t="shared" si="2"/>
        <v>0</v>
      </c>
      <c r="J27" s="27"/>
      <c r="K27" s="28">
        <f t="shared" si="3"/>
        <v>0</v>
      </c>
    </row>
    <row r="28" spans="1:11">
      <c r="A28" s="29" t="s">
        <v>39</v>
      </c>
      <c r="B28" s="30">
        <f>SUM(B25:B27)</f>
        <v>21179870.31</v>
      </c>
      <c r="C28" s="30">
        <f>SUM(C25:C27)</f>
        <v>20718890.53</v>
      </c>
      <c r="D28" s="31">
        <f t="shared" si="0"/>
        <v>0.97823500459385</v>
      </c>
      <c r="E28" s="30">
        <f>SUM(E25:E27)</f>
        <v>20649808.58</v>
      </c>
      <c r="F28" s="31">
        <f t="shared" si="1"/>
        <v>0.996665750518833</v>
      </c>
      <c r="G28" s="30">
        <f>SUM(G25:G27)</f>
        <v>297872903.02</v>
      </c>
      <c r="H28" s="30"/>
      <c r="I28" s="31">
        <f t="shared" si="2"/>
        <v>0</v>
      </c>
      <c r="J28" s="30"/>
      <c r="K28" s="31">
        <f t="shared" si="3"/>
        <v>0</v>
      </c>
    </row>
    <row r="29" spans="1:11">
      <c r="A29" s="32" t="s">
        <v>40</v>
      </c>
      <c r="B29" s="33">
        <f>SUM(B28,B24,B18)</f>
        <v>132772064.69</v>
      </c>
      <c r="C29" s="33">
        <f>SUM(C28,C24,C18)</f>
        <v>108216518.95</v>
      </c>
      <c r="D29" s="34">
        <f t="shared" si="0"/>
        <v>0.815054877715934</v>
      </c>
      <c r="E29" s="33">
        <f>SUM(E28,E24,E18)</f>
        <v>107416885.54</v>
      </c>
      <c r="F29" s="34">
        <f t="shared" si="1"/>
        <v>0.992610800848533</v>
      </c>
      <c r="G29" s="33">
        <f>SUM(G28,G24,G18)</f>
        <v>1390045674.08</v>
      </c>
      <c r="H29" s="33"/>
      <c r="I29" s="34">
        <f t="shared" si="2"/>
        <v>0</v>
      </c>
      <c r="J29" s="33">
        <f>SUM(J28,J24,J18)</f>
        <v>6830984.79</v>
      </c>
      <c r="K29" s="34">
        <f t="shared" si="3"/>
        <v>0.00491421607028926</v>
      </c>
    </row>
    <row r="30" spans="1:11">
      <c r="A30" s="24" t="s">
        <v>41</v>
      </c>
      <c r="B30" s="27">
        <f>VLOOKUP(A30,[2]ticket_pivot!$A$6:$V$127,2,FALSE)</f>
        <v>7956885.9</v>
      </c>
      <c r="C30" s="27">
        <f>VLOOKUP(A30,[2]ticket_pivot!$A$6:$V$127,3,FALSE)</f>
        <v>7773056.02</v>
      </c>
      <c r="D30" s="28">
        <f t="shared" si="0"/>
        <v>0.976896755551063</v>
      </c>
      <c r="E30" s="27">
        <f>VLOOKUP(A30,[2]ticket_pivot!$A$6:$V$127,4,FALSE)</f>
        <v>7620256.09</v>
      </c>
      <c r="F30" s="28">
        <f t="shared" si="1"/>
        <v>0.980342360892955</v>
      </c>
      <c r="G30" s="27">
        <f>VLOOKUP(A30,[2]Sheet12!$A$5:$G$125,2,FALSE)</f>
        <v>103315479.17</v>
      </c>
      <c r="H30" s="27"/>
      <c r="I30" s="28">
        <f t="shared" si="2"/>
        <v>0</v>
      </c>
      <c r="J30" s="27"/>
      <c r="K30" s="28">
        <f t="shared" si="3"/>
        <v>0</v>
      </c>
    </row>
    <row r="31" spans="1:11">
      <c r="A31" s="24" t="s">
        <v>42</v>
      </c>
      <c r="B31" s="25">
        <f>VLOOKUP(A31,[2]ticket_pivot!$A$6:$V$127,2,FALSE)</f>
        <v>9931079.89</v>
      </c>
      <c r="C31" s="25">
        <f>VLOOKUP(A31,[2]ticket_pivot!$A$6:$V$127,3,FALSE)</f>
        <v>9445165.04</v>
      </c>
      <c r="D31" s="26">
        <f t="shared" si="0"/>
        <v>0.951071297846543</v>
      </c>
      <c r="E31" s="25">
        <f>VLOOKUP(A31,[2]ticket_pivot!$A$6:$V$127,4,FALSE)</f>
        <v>9432635.96</v>
      </c>
      <c r="F31" s="26">
        <f t="shared" si="1"/>
        <v>0.998673492739731</v>
      </c>
      <c r="G31" s="25">
        <f>VLOOKUP(A31,[2]Sheet12!$A$5:$G$125,2,FALSE)</f>
        <v>134566285.04</v>
      </c>
      <c r="H31" s="25">
        <f>VLOOKUP(A31,[2]NPL!$A$5:$H$119,2,FALSE)</f>
        <v>363532.41</v>
      </c>
      <c r="I31" s="26">
        <f t="shared" si="2"/>
        <v>0.00270151182290527</v>
      </c>
      <c r="J31" s="25">
        <f>VLOOKUP(A31,[2]PAR!$A$5:$H$120,2,FALSE)</f>
        <v>363532.41</v>
      </c>
      <c r="K31" s="26">
        <f t="shared" si="3"/>
        <v>0.00270151182290527</v>
      </c>
    </row>
    <row r="32" spans="1:11">
      <c r="A32" s="24" t="s">
        <v>43</v>
      </c>
      <c r="B32" s="25"/>
      <c r="C32" s="25"/>
      <c r="D32" s="26" t="str">
        <f t="shared" si="0"/>
        <v/>
      </c>
      <c r="E32" s="25"/>
      <c r="F32" s="26" t="str">
        <f t="shared" si="1"/>
        <v/>
      </c>
      <c r="G32" s="25"/>
      <c r="H32" s="25"/>
      <c r="I32" s="26" t="str">
        <f t="shared" si="2"/>
        <v/>
      </c>
      <c r="J32" s="25"/>
      <c r="K32" s="26" t="str">
        <f t="shared" si="3"/>
        <v/>
      </c>
    </row>
    <row r="33" spans="1:11">
      <c r="A33" s="29" t="s">
        <v>44</v>
      </c>
      <c r="B33" s="30">
        <f>SUM(B30:B32)</f>
        <v>17887965.79</v>
      </c>
      <c r="C33" s="30">
        <f>SUM(C30:C32)</f>
        <v>17218221.06</v>
      </c>
      <c r="D33" s="31">
        <f t="shared" si="0"/>
        <v>0.962558921575397</v>
      </c>
      <c r="E33" s="30">
        <f>SUM(E30:E32)</f>
        <v>17052892.05</v>
      </c>
      <c r="F33" s="31">
        <f t="shared" si="1"/>
        <v>0.990398020247046</v>
      </c>
      <c r="G33" s="30">
        <f>SUM(G30:G32)</f>
        <v>237881764.21</v>
      </c>
      <c r="H33" s="30">
        <f>SUM(H30:H32)</f>
        <v>363532.41</v>
      </c>
      <c r="I33" s="31">
        <f t="shared" si="2"/>
        <v>0.00152820629696977</v>
      </c>
      <c r="J33" s="30">
        <f>SUM(J30:J32)</f>
        <v>363532.41</v>
      </c>
      <c r="K33" s="31">
        <f t="shared" si="3"/>
        <v>0.00152820629696977</v>
      </c>
    </row>
    <row r="34" spans="1:11">
      <c r="A34" s="24" t="s">
        <v>45</v>
      </c>
      <c r="B34" s="27">
        <f>VLOOKUP(A34,[2]ticket_pivot!$A$6:$V$127,2,FALSE)</f>
        <v>6913888.64</v>
      </c>
      <c r="C34" s="27">
        <f>VLOOKUP(A34,[2]ticket_pivot!$A$6:$V$127,3,FALSE)</f>
        <v>6753059.96</v>
      </c>
      <c r="D34" s="28">
        <f t="shared" si="0"/>
        <v>0.976738317844819</v>
      </c>
      <c r="E34" s="27">
        <f>VLOOKUP(A34,[2]ticket_pivot!$A$6:$V$127,4,FALSE)</f>
        <v>6736930.79</v>
      </c>
      <c r="F34" s="28">
        <f t="shared" si="1"/>
        <v>0.997611576071361</v>
      </c>
      <c r="G34" s="27">
        <f>VLOOKUP(A34,[2]Sheet12!$A$5:$G$125,2,FALSE)</f>
        <v>104573559.25</v>
      </c>
      <c r="H34" s="27"/>
      <c r="I34" s="28">
        <f t="shared" si="2"/>
        <v>0</v>
      </c>
      <c r="J34" s="27"/>
      <c r="K34" s="28">
        <f t="shared" si="3"/>
        <v>0</v>
      </c>
    </row>
    <row r="35" spans="1:11">
      <c r="A35" s="24" t="s">
        <v>46</v>
      </c>
      <c r="B35" s="27">
        <f>VLOOKUP(A35,[2]ticket_pivot!$A$6:$V$127,2,FALSE)</f>
        <v>16864351.52</v>
      </c>
      <c r="C35" s="27">
        <f>VLOOKUP(A35,[2]ticket_pivot!$A$6:$V$127,3,FALSE)</f>
        <v>16589467.4</v>
      </c>
      <c r="D35" s="28">
        <f t="shared" si="0"/>
        <v>0.983700285203733</v>
      </c>
      <c r="E35" s="27">
        <f>VLOOKUP(A35,[2]ticket_pivot!$A$6:$V$127,4,FALSE)</f>
        <v>16434976.66</v>
      </c>
      <c r="F35" s="28">
        <f t="shared" si="1"/>
        <v>0.990687420139841</v>
      </c>
      <c r="G35" s="27">
        <f>VLOOKUP(A35,[2]Sheet12!$A$5:$G$125,2,FALSE)</f>
        <v>292867729.12</v>
      </c>
      <c r="H35" s="27"/>
      <c r="I35" s="28">
        <f t="shared" si="2"/>
        <v>0</v>
      </c>
      <c r="J35" s="27"/>
      <c r="K35" s="28">
        <f t="shared" si="3"/>
        <v>0</v>
      </c>
    </row>
    <row r="36" spans="1:11">
      <c r="A36" s="29" t="s">
        <v>47</v>
      </c>
      <c r="B36" s="30">
        <f>SUM(B34:B35)</f>
        <v>23778240.16</v>
      </c>
      <c r="C36" s="30">
        <f>SUM(C34:C35)</f>
        <v>23342527.36</v>
      </c>
      <c r="D36" s="31">
        <f t="shared" si="0"/>
        <v>0.981675986234971</v>
      </c>
      <c r="E36" s="30">
        <f>SUM(E34:E35)</f>
        <v>23171907.45</v>
      </c>
      <c r="F36" s="31">
        <f t="shared" si="1"/>
        <v>0.992690598264335</v>
      </c>
      <c r="G36" s="30">
        <f>SUM(G34:G35)</f>
        <v>397441288.37</v>
      </c>
      <c r="H36" s="30"/>
      <c r="I36" s="31">
        <f t="shared" si="2"/>
        <v>0</v>
      </c>
      <c r="J36" s="30">
        <f>SUM(J34:J35)</f>
        <v>0</v>
      </c>
      <c r="K36" s="31">
        <f t="shared" si="3"/>
        <v>0</v>
      </c>
    </row>
    <row r="37" spans="1:11">
      <c r="A37" s="32" t="s">
        <v>48</v>
      </c>
      <c r="B37" s="33">
        <f>SUM(B36,B33)</f>
        <v>41666205.95</v>
      </c>
      <c r="C37" s="33">
        <f>SUM(C36,C33)</f>
        <v>40560748.42</v>
      </c>
      <c r="D37" s="34">
        <f t="shared" si="0"/>
        <v>0.973468725918396</v>
      </c>
      <c r="E37" s="33">
        <f>SUM(E36,E33)</f>
        <v>40224799.5</v>
      </c>
      <c r="F37" s="34">
        <f t="shared" si="1"/>
        <v>0.991717388532349</v>
      </c>
      <c r="G37" s="33">
        <f>SUM(G36,G33)</f>
        <v>635323052.58</v>
      </c>
      <c r="H37" s="33"/>
      <c r="I37" s="34">
        <f t="shared" si="2"/>
        <v>0</v>
      </c>
      <c r="J37" s="33">
        <f>SUM(J36,J33)</f>
        <v>363532.41</v>
      </c>
      <c r="K37" s="34">
        <f t="shared" si="3"/>
        <v>0.000572200880361136</v>
      </c>
    </row>
    <row r="38" spans="1:11">
      <c r="A38" s="24" t="s">
        <v>49</v>
      </c>
      <c r="B38" s="25">
        <f>VLOOKUP(A38,[2]ticket_pivot!$A$6:$V$127,2,FALSE)</f>
        <v>15158893</v>
      </c>
      <c r="C38" s="25">
        <f>VLOOKUP(A38,[2]ticket_pivot!$A$6:$V$127,3,FALSE)</f>
        <v>14213793.16</v>
      </c>
      <c r="D38" s="26">
        <f t="shared" si="0"/>
        <v>0.937653769308881</v>
      </c>
      <c r="E38" s="25">
        <f>VLOOKUP(A38,[2]ticket_pivot!$A$6:$V$127,4,FALSE)</f>
        <v>14203383.26</v>
      </c>
      <c r="F38" s="26">
        <f t="shared" si="1"/>
        <v>0.999267619847649</v>
      </c>
      <c r="G38" s="25">
        <f>VLOOKUP(A38,[2]Sheet12!$A$5:$G$125,2,FALSE)</f>
        <v>210683641.12</v>
      </c>
      <c r="H38" s="25"/>
      <c r="I38" s="26">
        <f t="shared" si="2"/>
        <v>0</v>
      </c>
      <c r="J38" s="25">
        <f>VLOOKUP(A38,[2]PAR!$A$5:$H$120,2,FALSE)</f>
        <v>1762800.35</v>
      </c>
      <c r="K38" s="26">
        <f t="shared" si="3"/>
        <v>0.00836704900593565</v>
      </c>
    </row>
    <row r="39" spans="1:11">
      <c r="A39" s="24" t="s">
        <v>50</v>
      </c>
      <c r="B39" s="27">
        <f>VLOOKUP(A39,[2]ticket_pivot!$A$6:$V$127,2,FALSE)</f>
        <v>9490990.12</v>
      </c>
      <c r="C39" s="27">
        <f>VLOOKUP(A39,[2]ticket_pivot!$A$6:$V$127,3,FALSE)</f>
        <v>9199436.56</v>
      </c>
      <c r="D39" s="28">
        <f t="shared" si="0"/>
        <v>0.969281017437199</v>
      </c>
      <c r="E39" s="27">
        <f>VLOOKUP(A39,[2]ticket_pivot!$A$6:$V$127,4,FALSE)</f>
        <v>9161504.78</v>
      </c>
      <c r="F39" s="28">
        <f t="shared" si="1"/>
        <v>0.995876727911258</v>
      </c>
      <c r="G39" s="27">
        <f>VLOOKUP(A39,[2]Sheet12!$A$5:$G$125,2,FALSE)</f>
        <v>98291659.48</v>
      </c>
      <c r="H39" s="27"/>
      <c r="I39" s="28">
        <f t="shared" si="2"/>
        <v>0</v>
      </c>
      <c r="J39" s="27">
        <f>VLOOKUP(A39,[2]PAR!$A$5:$H$120,2,FALSE)</f>
        <v>1037102.36</v>
      </c>
      <c r="K39" s="28">
        <f t="shared" si="3"/>
        <v>0.0105512753115235</v>
      </c>
    </row>
    <row r="40" spans="1:11">
      <c r="A40" s="24" t="s">
        <v>51</v>
      </c>
      <c r="B40" s="27">
        <f>VLOOKUP(A40,[2]ticket_pivot!$A$6:$V$127,2,FALSE)</f>
        <v>19663739.29</v>
      </c>
      <c r="C40" s="27">
        <f>VLOOKUP(A40,[2]ticket_pivot!$A$6:$V$127,3,FALSE)</f>
        <v>18265496.1</v>
      </c>
      <c r="D40" s="28">
        <f t="shared" si="0"/>
        <v>0.928892304287666</v>
      </c>
      <c r="E40" s="27">
        <f>VLOOKUP(A40,[2]ticket_pivot!$A$6:$V$127,4,FALSE)</f>
        <v>18215547.14</v>
      </c>
      <c r="F40" s="28">
        <f t="shared" si="1"/>
        <v>0.997265392643783</v>
      </c>
      <c r="G40" s="27">
        <f>VLOOKUP(A40,[2]Sheet12!$A$5:$G$125,2,FALSE)</f>
        <v>164735117.71</v>
      </c>
      <c r="H40" s="27"/>
      <c r="I40" s="28">
        <f t="shared" si="2"/>
        <v>0</v>
      </c>
      <c r="J40" s="27">
        <f>VLOOKUP(A40,[2]PAR!$A$5:$H$120,2,FALSE)</f>
        <v>3413620.04</v>
      </c>
      <c r="K40" s="28">
        <f t="shared" si="3"/>
        <v>0.0207218721026402</v>
      </c>
    </row>
    <row r="41" spans="1:11">
      <c r="A41" s="24" t="s">
        <v>52</v>
      </c>
      <c r="B41" s="27">
        <f>VLOOKUP(A41,[2]ticket_pivot!$A$6:$V$127,2,FALSE)</f>
        <v>5765055.12</v>
      </c>
      <c r="C41" s="27">
        <f>VLOOKUP(A41,[2]ticket_pivot!$A$6:$V$127,3,FALSE)</f>
        <v>7314246.1</v>
      </c>
      <c r="D41" s="28">
        <f t="shared" si="0"/>
        <v>1.26872093115391</v>
      </c>
      <c r="E41" s="27">
        <f>VLOOKUP(A41,[2]ticket_pivot!$A$6:$V$127,4,FALSE)</f>
        <v>5759175.62</v>
      </c>
      <c r="F41" s="28">
        <f t="shared" si="1"/>
        <v>0.787391556321847</v>
      </c>
      <c r="G41" s="27">
        <f>VLOOKUP(A41,[2]Sheet12!$A$5:$G$125,2,FALSE)</f>
        <v>66229912.25</v>
      </c>
      <c r="H41" s="27"/>
      <c r="I41" s="28">
        <f t="shared" si="2"/>
        <v>0</v>
      </c>
      <c r="J41" s="27"/>
      <c r="K41" s="28">
        <f t="shared" si="3"/>
        <v>0</v>
      </c>
    </row>
    <row r="42" spans="1:11">
      <c r="A42" s="24" t="s">
        <v>53</v>
      </c>
      <c r="B42" s="27">
        <f>VLOOKUP(A42,[2]ticket_pivot!$A$6:$V$127,2,FALSE)</f>
        <v>7573943.55</v>
      </c>
      <c r="C42" s="27">
        <f>VLOOKUP(A42,[2]ticket_pivot!$A$6:$V$127,3,FALSE)</f>
        <v>7303163.14</v>
      </c>
      <c r="D42" s="28">
        <f t="shared" si="0"/>
        <v>0.964248425115342</v>
      </c>
      <c r="E42" s="27">
        <f>VLOOKUP(A42,[2]ticket_pivot!$A$6:$V$127,4,FALSE)</f>
        <v>7293464.51</v>
      </c>
      <c r="F42" s="28">
        <f t="shared" si="1"/>
        <v>0.998671995981182</v>
      </c>
      <c r="G42" s="27">
        <f>VLOOKUP(A42,[2]Sheet12!$A$5:$G$125,2,FALSE)</f>
        <v>90523043.14</v>
      </c>
      <c r="H42" s="27">
        <f>VLOOKUP(A42,[2]NPL!$A$5:$H$119,2,FALSE)</f>
        <v>205504.01</v>
      </c>
      <c r="I42" s="28">
        <f t="shared" si="2"/>
        <v>0.00227018450630492</v>
      </c>
      <c r="J42" s="27">
        <f>VLOOKUP(A42,[2]PAR!$A$5:$H$120,2,FALSE)</f>
        <v>827277.82</v>
      </c>
      <c r="K42" s="28">
        <f t="shared" si="3"/>
        <v>0.00913886444052217</v>
      </c>
    </row>
    <row r="43" spans="1:11">
      <c r="A43" s="29" t="s">
        <v>54</v>
      </c>
      <c r="B43" s="30">
        <f>SUM(B38:B42)</f>
        <v>57652621.08</v>
      </c>
      <c r="C43" s="30">
        <f>SUM(C38:C42)</f>
        <v>56296135.06</v>
      </c>
      <c r="D43" s="31">
        <f t="shared" si="0"/>
        <v>0.976471390292599</v>
      </c>
      <c r="E43" s="30">
        <f>SUM(E38:E42)</f>
        <v>54633075.31</v>
      </c>
      <c r="F43" s="31">
        <f t="shared" si="1"/>
        <v>0.970458722464206</v>
      </c>
      <c r="G43" s="30">
        <f>SUM(G38:G42)</f>
        <v>630463373.7</v>
      </c>
      <c r="H43" s="30">
        <f>SUM(H38:H42)</f>
        <v>205504.01</v>
      </c>
      <c r="I43" s="31">
        <f t="shared" si="2"/>
        <v>0.000325957095324917</v>
      </c>
      <c r="J43" s="30">
        <f>SUM(J38:J42)</f>
        <v>7040800.57</v>
      </c>
      <c r="K43" s="31">
        <f t="shared" si="3"/>
        <v>0.0111676599525198</v>
      </c>
    </row>
    <row r="44" spans="1:11">
      <c r="A44" s="24" t="s">
        <v>55</v>
      </c>
      <c r="B44" s="25">
        <f>VLOOKUP(A44,[2]ticket_pivot!$A$6:$V$127,2,FALSE)</f>
        <v>7763400.03</v>
      </c>
      <c r="C44" s="25">
        <f>VLOOKUP(A44,[2]ticket_pivot!$A$6:$V$127,3,FALSE)</f>
        <v>7380467.93</v>
      </c>
      <c r="D44" s="26">
        <f t="shared" si="0"/>
        <v>0.950674691691753</v>
      </c>
      <c r="E44" s="25">
        <f>VLOOKUP(A44,[2]ticket_pivot!$A$6:$V$127,4,FALSE)</f>
        <v>7195434.5</v>
      </c>
      <c r="F44" s="26">
        <f t="shared" si="1"/>
        <v>0.974929309123087</v>
      </c>
      <c r="G44" s="25">
        <f>VLOOKUP(A44,[2]Sheet12!$A$5:$G$125,2,FALSE)</f>
        <v>100042164.79</v>
      </c>
      <c r="H44" s="25"/>
      <c r="I44" s="26">
        <f t="shared" si="2"/>
        <v>0</v>
      </c>
      <c r="J44" s="25">
        <f>VLOOKUP(A44,[2]PAR!$A$5:$H$120,2,FALSE)</f>
        <v>607392.84</v>
      </c>
      <c r="K44" s="26">
        <f t="shared" si="3"/>
        <v>0.00607136842025547</v>
      </c>
    </row>
    <row r="45" spans="1:11">
      <c r="A45" s="24" t="s">
        <v>56</v>
      </c>
      <c r="B45" s="25">
        <f>VLOOKUP(A45,[2]ticket_pivot!$A$6:$V$127,2,FALSE)</f>
        <v>9404331.58</v>
      </c>
      <c r="C45" s="25">
        <f>VLOOKUP(A45,[2]ticket_pivot!$A$6:$V$127,3,FALSE)</f>
        <v>7950342.08</v>
      </c>
      <c r="D45" s="26">
        <f t="shared" si="0"/>
        <v>0.845391510536254</v>
      </c>
      <c r="E45" s="25">
        <f>VLOOKUP(A45,[2]ticket_pivot!$A$6:$V$127,4,FALSE)</f>
        <v>7844592.61</v>
      </c>
      <c r="F45" s="26">
        <f t="shared" si="1"/>
        <v>0.986698752212685</v>
      </c>
      <c r="G45" s="25">
        <f>VLOOKUP(A45,[2]Sheet12!$A$5:$G$125,2,FALSE)</f>
        <v>113618310.08</v>
      </c>
      <c r="H45" s="25">
        <f>VLOOKUP(A45,[2]NPL!$A$5:$H$119,2,FALSE)</f>
        <v>1585889.27</v>
      </c>
      <c r="I45" s="26">
        <f t="shared" si="2"/>
        <v>0.0139580431083983</v>
      </c>
      <c r="J45" s="25">
        <f>VLOOKUP(A45,[2]PAR!$A$5:$H$120,2,FALSE)</f>
        <v>4137533.81</v>
      </c>
      <c r="K45" s="26">
        <f t="shared" si="3"/>
        <v>0.0364160829983012</v>
      </c>
    </row>
    <row r="46" spans="1:11">
      <c r="A46" s="24" t="s">
        <v>57</v>
      </c>
      <c r="B46" s="27">
        <f>VLOOKUP(A46,[2]ticket_pivot!$A$6:$V$127,2,FALSE)</f>
        <v>18517238.88</v>
      </c>
      <c r="C46" s="27">
        <f>VLOOKUP(A46,[2]ticket_pivot!$A$6:$V$127,3,FALSE)</f>
        <v>14433297.68</v>
      </c>
      <c r="D46" s="28">
        <f t="shared" si="0"/>
        <v>0.779451935222861</v>
      </c>
      <c r="E46" s="27">
        <f>VLOOKUP(A46,[2]ticket_pivot!$A$6:$V$127,4,FALSE)</f>
        <v>14422322.47</v>
      </c>
      <c r="F46" s="28">
        <f t="shared" si="1"/>
        <v>0.999239590962278</v>
      </c>
      <c r="G46" s="27">
        <f>VLOOKUP(A46,[2]Sheet12!$A$5:$G$125,2,FALSE)</f>
        <v>264143070.3</v>
      </c>
      <c r="H46" s="27"/>
      <c r="I46" s="28">
        <f t="shared" si="2"/>
        <v>0</v>
      </c>
      <c r="J46" s="27">
        <f>VLOOKUP(A46,[2]PAR!$A$5:$H$120,2,FALSE)</f>
        <v>12459504.14</v>
      </c>
      <c r="K46" s="28">
        <f t="shared" si="3"/>
        <v>0.0471695287173316</v>
      </c>
    </row>
    <row r="47" spans="1:11">
      <c r="A47" s="24" t="s">
        <v>58</v>
      </c>
      <c r="B47" s="27">
        <f>VLOOKUP(A47,[2]ticket_pivot!$A$6:$V$127,2,FALSE)</f>
        <v>3623946.28</v>
      </c>
      <c r="C47" s="27">
        <f>VLOOKUP(A47,[2]ticket_pivot!$A$6:$V$127,3,FALSE)</f>
        <v>3627751.74</v>
      </c>
      <c r="D47" s="28">
        <f t="shared" si="0"/>
        <v>1.00105008730979</v>
      </c>
      <c r="E47" s="27">
        <f>VLOOKUP(A47,[2]ticket_pivot!$A$6:$V$127,4,FALSE)</f>
        <v>3623946.28</v>
      </c>
      <c r="F47" s="28">
        <f t="shared" si="1"/>
        <v>0.998951014216866</v>
      </c>
      <c r="G47" s="27">
        <f>VLOOKUP(A47,[2]Sheet12!$A$5:$G$125,2,FALSE)</f>
        <v>49023403</v>
      </c>
      <c r="H47" s="27"/>
      <c r="I47" s="28">
        <f t="shared" si="2"/>
        <v>0</v>
      </c>
      <c r="J47" s="27"/>
      <c r="K47" s="28">
        <f t="shared" si="3"/>
        <v>0</v>
      </c>
    </row>
    <row r="48" spans="1:11">
      <c r="A48" s="29" t="s">
        <v>59</v>
      </c>
      <c r="B48" s="30">
        <f>SUM(B44:B47)</f>
        <v>39308916.77</v>
      </c>
      <c r="C48" s="30">
        <f>SUM(C44:C47)</f>
        <v>33391859.43</v>
      </c>
      <c r="D48" s="31">
        <f t="shared" si="0"/>
        <v>0.849472897596715</v>
      </c>
      <c r="E48" s="30">
        <f>SUM(E44:E47)</f>
        <v>33086295.86</v>
      </c>
      <c r="F48" s="31">
        <f t="shared" si="1"/>
        <v>0.990849159788764</v>
      </c>
      <c r="G48" s="30">
        <f>SUM(G44:G47)</f>
        <v>526826948.17</v>
      </c>
      <c r="H48" s="30">
        <f>SUM(H44:H47)</f>
        <v>1585889.27</v>
      </c>
      <c r="I48" s="31">
        <f t="shared" si="2"/>
        <v>0.00301026603803922</v>
      </c>
      <c r="J48" s="30">
        <f>SUM(J44:J47)</f>
        <v>17204430.79</v>
      </c>
      <c r="K48" s="31">
        <f t="shared" si="3"/>
        <v>0.032656702262027</v>
      </c>
    </row>
    <row r="49" spans="1:11">
      <c r="A49" s="32" t="s">
        <v>60</v>
      </c>
      <c r="B49" s="33">
        <f>SUM(B48,B43)</f>
        <v>96961537.85</v>
      </c>
      <c r="C49" s="33">
        <f>SUM(C48,C43)</f>
        <v>89687994.49</v>
      </c>
      <c r="D49" s="34">
        <f t="shared" si="0"/>
        <v>0.924985272291657</v>
      </c>
      <c r="E49" s="33">
        <f>SUM(E48,E43)</f>
        <v>87719371.17</v>
      </c>
      <c r="F49" s="34">
        <f t="shared" si="1"/>
        <v>0.978050313966832</v>
      </c>
      <c r="G49" s="33">
        <f>SUM(G48,G43)</f>
        <v>1157290321.87</v>
      </c>
      <c r="H49" s="33">
        <f>SUM(H48,H43)</f>
        <v>1791393.28</v>
      </c>
      <c r="I49" s="34">
        <f t="shared" si="2"/>
        <v>0.00154792038449383</v>
      </c>
      <c r="J49" s="33">
        <f>SUM(J48,J43)</f>
        <v>24245231.36</v>
      </c>
      <c r="K49" s="34">
        <f t="shared" si="3"/>
        <v>0.0209499992368583</v>
      </c>
    </row>
    <row r="50" spans="1:11">
      <c r="A50" s="35" t="s">
        <v>61</v>
      </c>
      <c r="B50" s="36">
        <f>SUM(B49,B37,B29,B13)</f>
        <v>353869022.14</v>
      </c>
      <c r="C50" s="36">
        <f>SUM(C49,C37,C29,C13)</f>
        <v>298473315.92</v>
      </c>
      <c r="D50" s="37">
        <f t="shared" si="0"/>
        <v>0.843457034229789</v>
      </c>
      <c r="E50" s="36">
        <f>SUM(E49,E37,E29,E13)</f>
        <v>293578970.35</v>
      </c>
      <c r="F50" s="37">
        <f t="shared" si="1"/>
        <v>0.983602066553541</v>
      </c>
      <c r="G50" s="36">
        <f>SUM(G49,G37,G29,G13)</f>
        <v>4206433492.64</v>
      </c>
      <c r="H50" s="36">
        <f>SUM(H49,H37,H29,H13)</f>
        <v>1791393.28</v>
      </c>
      <c r="I50" s="37">
        <f t="shared" si="2"/>
        <v>0.000425869868888787</v>
      </c>
      <c r="J50" s="36">
        <f>SUM(J49,J37,J29,J13)</f>
        <v>37263746.97</v>
      </c>
      <c r="K50" s="37">
        <f t="shared" si="3"/>
        <v>0.00885875101441647</v>
      </c>
    </row>
    <row r="51" spans="1:11">
      <c r="A51" s="24" t="s">
        <v>62</v>
      </c>
      <c r="B51" s="25">
        <f>VLOOKUP(A51,[2]ticket_pivot!$A$6:$V$127,2,FALSE)</f>
        <v>1850093.09</v>
      </c>
      <c r="C51" s="25">
        <f>VLOOKUP(A51,[2]ticket_pivot!$A$6:$V$127,3,FALSE)</f>
        <v>1846730.19</v>
      </c>
      <c r="D51" s="26">
        <f t="shared" si="0"/>
        <v>0.998182307680529</v>
      </c>
      <c r="E51" s="25">
        <f>VLOOKUP(A51,[2]ticket_pivot!$A$6:$V$127,4,FALSE)</f>
        <v>1845413.91</v>
      </c>
      <c r="F51" s="26">
        <f t="shared" si="1"/>
        <v>0.999287237514647</v>
      </c>
      <c r="G51" s="25">
        <f>VLOOKUP(A51,[2]Sheet12!$A$5:$G$125,2,FALSE)</f>
        <v>36046419.33</v>
      </c>
      <c r="H51" s="25"/>
      <c r="I51" s="26">
        <f t="shared" si="2"/>
        <v>0</v>
      </c>
      <c r="J51" s="25"/>
      <c r="K51" s="26">
        <f t="shared" si="3"/>
        <v>0</v>
      </c>
    </row>
    <row r="52" spans="1:11">
      <c r="A52" s="24" t="s">
        <v>63</v>
      </c>
      <c r="B52" s="27">
        <f>VLOOKUP(A52,[2]ticket_pivot!$A$6:$V$127,2,FALSE)</f>
        <v>3616050.14</v>
      </c>
      <c r="C52" s="27">
        <f>VLOOKUP(A52,[2]ticket_pivot!$A$6:$V$127,3,FALSE)</f>
        <v>3097910.21</v>
      </c>
      <c r="D52" s="28">
        <f t="shared" si="0"/>
        <v>0.85671107702063</v>
      </c>
      <c r="E52" s="27">
        <f>VLOOKUP(A52,[2]ticket_pivot!$A$6:$V$127,4,FALSE)</f>
        <v>3081705.58</v>
      </c>
      <c r="F52" s="28">
        <f t="shared" si="1"/>
        <v>0.994769173765046</v>
      </c>
      <c r="G52" s="27">
        <f>VLOOKUP(A52,[2]Sheet12!$A$5:$G$125,2,FALSE)</f>
        <v>90866907</v>
      </c>
      <c r="H52" s="27"/>
      <c r="I52" s="28">
        <f t="shared" si="2"/>
        <v>0</v>
      </c>
      <c r="J52" s="27">
        <f>VLOOKUP(A52,[2]PAR!$A$5:$H$120,2,FALSE)</f>
        <v>2421306.39</v>
      </c>
      <c r="K52" s="28">
        <f t="shared" si="3"/>
        <v>0.0266467349879093</v>
      </c>
    </row>
    <row r="53" spans="1:11">
      <c r="A53" s="24" t="s">
        <v>64</v>
      </c>
      <c r="B53" s="27">
        <f>VLOOKUP(A53,[2]ticket_pivot!$A$6:$V$127,2,FALSE)</f>
        <v>8073871.34</v>
      </c>
      <c r="C53" s="27">
        <f>VLOOKUP(A53,[2]ticket_pivot!$A$6:$V$127,3,FALSE)</f>
        <v>8088568.36</v>
      </c>
      <c r="D53" s="28">
        <f t="shared" si="0"/>
        <v>1.00182031882614</v>
      </c>
      <c r="E53" s="27">
        <f>VLOOKUP(A53,[2]ticket_pivot!$A$6:$V$127,4,FALSE)</f>
        <v>7374439.69</v>
      </c>
      <c r="F53" s="28">
        <f t="shared" si="1"/>
        <v>0.911711363715296</v>
      </c>
      <c r="G53" s="27">
        <f>VLOOKUP(A53,[2]Sheet12!$A$5:$G$125,2,FALSE)</f>
        <v>160726622.93</v>
      </c>
      <c r="H53" s="27"/>
      <c r="I53" s="28">
        <f t="shared" si="2"/>
        <v>0</v>
      </c>
      <c r="J53" s="27">
        <f>VLOOKUP(A53,[2]PAR!$A$5:$H$120,2,FALSE)</f>
        <v>1892237.48</v>
      </c>
      <c r="K53" s="28">
        <f t="shared" si="3"/>
        <v>0.0117730183432281</v>
      </c>
    </row>
    <row r="54" spans="1:11">
      <c r="A54" s="24" t="s">
        <v>65</v>
      </c>
      <c r="B54" s="27"/>
      <c r="C54" s="27"/>
      <c r="D54" s="28" t="str">
        <f t="shared" si="0"/>
        <v/>
      </c>
      <c r="E54" s="27"/>
      <c r="F54" s="28" t="str">
        <f t="shared" si="1"/>
        <v/>
      </c>
      <c r="G54" s="27"/>
      <c r="H54" s="27"/>
      <c r="I54" s="28" t="str">
        <f t="shared" si="2"/>
        <v/>
      </c>
      <c r="J54" s="27"/>
      <c r="K54" s="28" t="str">
        <f t="shared" si="3"/>
        <v/>
      </c>
    </row>
    <row r="55" spans="1:11">
      <c r="A55" s="29" t="s">
        <v>66</v>
      </c>
      <c r="B55" s="30">
        <f>SUM(B51:B54)</f>
        <v>13540014.57</v>
      </c>
      <c r="C55" s="30">
        <f>SUM(C51:C54)</f>
        <v>13033208.76</v>
      </c>
      <c r="D55" s="31">
        <f t="shared" si="0"/>
        <v>0.962569773660148</v>
      </c>
      <c r="E55" s="30">
        <f>SUM(E51:E54)</f>
        <v>12301559.18</v>
      </c>
      <c r="F55" s="31">
        <f t="shared" si="1"/>
        <v>0.943862667016775</v>
      </c>
      <c r="G55" s="30">
        <f>SUM(G51:G54)</f>
        <v>287639949.26</v>
      </c>
      <c r="H55" s="30"/>
      <c r="I55" s="31">
        <f t="shared" si="2"/>
        <v>0</v>
      </c>
      <c r="J55" s="30">
        <f>SUM(J51:J54)</f>
        <v>4313543.87</v>
      </c>
      <c r="K55" s="31">
        <f t="shared" si="3"/>
        <v>0.0149963309376785</v>
      </c>
    </row>
    <row r="56" spans="1:11">
      <c r="A56" s="24" t="s">
        <v>67</v>
      </c>
      <c r="B56" s="27">
        <f>VLOOKUP(A56,[2]ticket_pivot!$A$6:$V$127,2,FALSE)</f>
        <v>9261710.05</v>
      </c>
      <c r="C56" s="27">
        <f>VLOOKUP(A56,[2]ticket_pivot!$A$6:$V$127,3,FALSE)</f>
        <v>7442058.11</v>
      </c>
      <c r="D56" s="28">
        <f t="shared" si="0"/>
        <v>0.803529593328178</v>
      </c>
      <c r="E56" s="27">
        <f>VLOOKUP(A56,[2]ticket_pivot!$A$6:$V$127,4,FALSE)</f>
        <v>7212263.6</v>
      </c>
      <c r="F56" s="28">
        <f t="shared" si="1"/>
        <v>0.969122182788224</v>
      </c>
      <c r="G56" s="27">
        <f>VLOOKUP(A56,[2]Sheet12!$A$5:$G$125,2,FALSE)</f>
        <v>152862409.21</v>
      </c>
      <c r="H56" s="27"/>
      <c r="I56" s="28">
        <f t="shared" si="2"/>
        <v>0</v>
      </c>
      <c r="J56" s="27">
        <f>VLOOKUP(A56,[2]PAR!$A$5:$H$120,2,FALSE)</f>
        <v>8170953.46</v>
      </c>
      <c r="K56" s="28">
        <f t="shared" si="3"/>
        <v>0.0534529941156094</v>
      </c>
    </row>
    <row r="57" spans="1:11">
      <c r="A57" s="24" t="s">
        <v>68</v>
      </c>
      <c r="B57" s="25">
        <f>VLOOKUP(A57,[2]ticket_pivot!$A$6:$V$127,2,FALSE)</f>
        <v>8711275.45</v>
      </c>
      <c r="C57" s="25">
        <f>VLOOKUP(A57,[2]ticket_pivot!$A$6:$V$127,3,FALSE)</f>
        <v>8197988.33</v>
      </c>
      <c r="D57" s="26">
        <f t="shared" si="0"/>
        <v>0.941077845265471</v>
      </c>
      <c r="E57" s="25">
        <f>VLOOKUP(A57,[2]ticket_pivot!$A$6:$V$127,4,FALSE)</f>
        <v>8080969.07</v>
      </c>
      <c r="F57" s="26">
        <f t="shared" si="1"/>
        <v>0.985725856723682</v>
      </c>
      <c r="G57" s="25">
        <f>VLOOKUP(A57,[2]Sheet12!$A$5:$G$125,2,FALSE)</f>
        <v>131229504.74</v>
      </c>
      <c r="H57" s="25"/>
      <c r="I57" s="26">
        <f t="shared" si="2"/>
        <v>0</v>
      </c>
      <c r="J57" s="25">
        <f>VLOOKUP(A57,[2]PAR!$A$5:$H$120,2,FALSE)</f>
        <v>2497993.34</v>
      </c>
      <c r="K57" s="26">
        <f t="shared" si="3"/>
        <v>0.0190353026550636</v>
      </c>
    </row>
    <row r="58" spans="1:11">
      <c r="A58" s="24" t="s">
        <v>69</v>
      </c>
      <c r="B58" s="25">
        <f>VLOOKUP(A58,[2]ticket_pivot!$A$6:$V$127,2,FALSE)</f>
        <v>8433080.01</v>
      </c>
      <c r="C58" s="25">
        <f>VLOOKUP(A58,[2]ticket_pivot!$A$6:$V$127,3,FALSE)</f>
        <v>7481231.42</v>
      </c>
      <c r="D58" s="26">
        <f t="shared" si="0"/>
        <v>0.887129187809046</v>
      </c>
      <c r="E58" s="25">
        <f>VLOOKUP(A58,[2]ticket_pivot!$A$6:$V$127,4,FALSE)</f>
        <v>7471954.63</v>
      </c>
      <c r="F58" s="26">
        <f t="shared" si="1"/>
        <v>0.998759991573687</v>
      </c>
      <c r="G58" s="25">
        <f>VLOOKUP(A58,[2]Sheet12!$A$5:$G$125,2,FALSE)</f>
        <v>152491305.69</v>
      </c>
      <c r="H58" s="25"/>
      <c r="I58" s="26">
        <f t="shared" si="2"/>
        <v>0</v>
      </c>
      <c r="J58" s="25"/>
      <c r="K58" s="26">
        <f t="shared" si="3"/>
        <v>0</v>
      </c>
    </row>
    <row r="59" spans="1:11">
      <c r="A59" s="24" t="s">
        <v>70</v>
      </c>
      <c r="B59" s="27">
        <f>VLOOKUP(A59,[2]ticket_pivot!$A$6:$V$127,2,FALSE)</f>
        <v>8503536.36</v>
      </c>
      <c r="C59" s="27">
        <f>VLOOKUP(A59,[2]ticket_pivot!$A$6:$V$127,3,FALSE)</f>
        <v>8480755.77</v>
      </c>
      <c r="D59" s="28">
        <f t="shared" si="0"/>
        <v>0.997321045146916</v>
      </c>
      <c r="E59" s="27">
        <f>VLOOKUP(A59,[2]ticket_pivot!$A$6:$V$127,4,FALSE)</f>
        <v>8463571.88</v>
      </c>
      <c r="F59" s="28">
        <f t="shared" si="1"/>
        <v>0.997973778461964</v>
      </c>
      <c r="G59" s="27">
        <f>VLOOKUP(A59,[2]Sheet12!$A$5:$G$125,2,FALSE)</f>
        <v>167423919.94</v>
      </c>
      <c r="H59" s="27"/>
      <c r="I59" s="28">
        <f t="shared" si="2"/>
        <v>0</v>
      </c>
      <c r="J59" s="27"/>
      <c r="K59" s="28">
        <f t="shared" si="3"/>
        <v>0</v>
      </c>
    </row>
    <row r="60" spans="1:11">
      <c r="A60" s="24" t="s">
        <v>71</v>
      </c>
      <c r="B60" s="27"/>
      <c r="C60" s="27"/>
      <c r="D60" s="28"/>
      <c r="E60" s="27"/>
      <c r="F60" s="28"/>
      <c r="G60" s="27"/>
      <c r="H60" s="27"/>
      <c r="I60" s="28" t="str">
        <f t="shared" si="2"/>
        <v/>
      </c>
      <c r="J60" s="27"/>
      <c r="K60" s="28" t="str">
        <f t="shared" si="3"/>
        <v/>
      </c>
    </row>
    <row r="61" spans="1:11">
      <c r="A61" s="29" t="s">
        <v>72</v>
      </c>
      <c r="B61" s="30">
        <f>SUM(B56:B60)</f>
        <v>34909601.87</v>
      </c>
      <c r="C61" s="30">
        <f>SUM(C56:C60)</f>
        <v>31602033.63</v>
      </c>
      <c r="D61" s="31">
        <f t="shared" ref="D61:D87" si="4">IFERROR(C61/B61,"")</f>
        <v>0.905253338255845</v>
      </c>
      <c r="E61" s="30">
        <f>SUM(E56:E60)</f>
        <v>31228759.18</v>
      </c>
      <c r="F61" s="31">
        <f t="shared" ref="F61:F87" si="5">IFERROR(E61/C61,"")</f>
        <v>0.988188277552947</v>
      </c>
      <c r="G61" s="30">
        <f>SUM(G56:G60)</f>
        <v>604007139.58</v>
      </c>
      <c r="H61" s="30">
        <f>SUM(H56:H60)</f>
        <v>0</v>
      </c>
      <c r="I61" s="31">
        <f t="shared" si="2"/>
        <v>0</v>
      </c>
      <c r="J61" s="30">
        <f>SUM(J56:J60)</f>
        <v>10668946.8</v>
      </c>
      <c r="K61" s="31">
        <f t="shared" si="3"/>
        <v>0.0176636104126496</v>
      </c>
    </row>
    <row r="62" spans="1:11">
      <c r="A62" s="32" t="s">
        <v>73</v>
      </c>
      <c r="B62" s="33">
        <f>SUM(B61,B55)</f>
        <v>48449616.44</v>
      </c>
      <c r="C62" s="33">
        <f>SUM(C61,C55)</f>
        <v>44635242.39</v>
      </c>
      <c r="D62" s="34">
        <f t="shared" si="4"/>
        <v>0.921271326167799</v>
      </c>
      <c r="E62" s="33">
        <f>SUM(E61,E55)</f>
        <v>43530318.36</v>
      </c>
      <c r="F62" s="34">
        <f t="shared" si="5"/>
        <v>0.975245479337925</v>
      </c>
      <c r="G62" s="33">
        <f>SUM(G61,G55)</f>
        <v>891647088.84</v>
      </c>
      <c r="H62" s="33">
        <f>SUM(H61,H55)</f>
        <v>0</v>
      </c>
      <c r="I62" s="34">
        <f t="shared" si="2"/>
        <v>0</v>
      </c>
      <c r="J62" s="33">
        <f>SUM(J61,J55)</f>
        <v>14982490.67</v>
      </c>
      <c r="K62" s="34">
        <f t="shared" si="3"/>
        <v>0.0168031622124081</v>
      </c>
    </row>
    <row r="63" spans="1:11">
      <c r="A63" s="24" t="s">
        <v>74</v>
      </c>
      <c r="B63" s="25">
        <f>VLOOKUP(A63,[2]ticket_pivot!$A$6:$V$127,2,FALSE)</f>
        <v>1433122.81</v>
      </c>
      <c r="C63" s="25">
        <f>VLOOKUP(A63,[2]ticket_pivot!$A$6:$V$127,3,FALSE)</f>
        <v>1435101.42</v>
      </c>
      <c r="D63" s="26">
        <f t="shared" si="4"/>
        <v>1.00138062836359</v>
      </c>
      <c r="E63" s="25">
        <f>VLOOKUP(A63,[2]ticket_pivot!$A$6:$V$127,4,FALSE)</f>
        <v>1433122.81</v>
      </c>
      <c r="F63" s="26">
        <f t="shared" si="5"/>
        <v>0.998621275143049</v>
      </c>
      <c r="G63" s="25">
        <f>VLOOKUP(A63,[2]Sheet12!$A$5:$G$125,2,FALSE)</f>
        <v>19146358.65</v>
      </c>
      <c r="H63" s="25"/>
      <c r="I63" s="26">
        <f t="shared" si="2"/>
        <v>0</v>
      </c>
      <c r="J63" s="25"/>
      <c r="K63" s="26">
        <f t="shared" si="3"/>
        <v>0</v>
      </c>
    </row>
    <row r="64" spans="1:11">
      <c r="A64" s="24" t="s">
        <v>75</v>
      </c>
      <c r="B64" s="27">
        <f>VLOOKUP(A64,[2]ticket_pivot!$A$6:$V$127,2,FALSE)</f>
        <v>16216590.32</v>
      </c>
      <c r="C64" s="27">
        <f>VLOOKUP(A64,[2]ticket_pivot!$A$6:$V$127,3,FALSE)</f>
        <v>15546262.7</v>
      </c>
      <c r="D64" s="28">
        <f t="shared" si="4"/>
        <v>0.958664083708566</v>
      </c>
      <c r="E64" s="27">
        <f>VLOOKUP(A64,[2]ticket_pivot!$A$6:$V$127,4,FALSE)</f>
        <v>14887001.69</v>
      </c>
      <c r="F64" s="28">
        <f t="shared" si="5"/>
        <v>0.957593601579883</v>
      </c>
      <c r="G64" s="27">
        <f>VLOOKUP(A64,[2]Sheet12!$A$5:$G$125,2,FALSE)</f>
        <v>194591847.91</v>
      </c>
      <c r="H64" s="27"/>
      <c r="I64" s="28">
        <f t="shared" si="2"/>
        <v>0</v>
      </c>
      <c r="J64" s="27">
        <f>VLOOKUP(A64,[2]PAR!$A$5:$H$120,2,FALSE)</f>
        <v>1503462.9</v>
      </c>
      <c r="K64" s="28">
        <f t="shared" si="3"/>
        <v>0.00772623784679491</v>
      </c>
    </row>
    <row r="65" spans="1:11">
      <c r="A65" s="24" t="s">
        <v>76</v>
      </c>
      <c r="B65" s="27">
        <f>VLOOKUP(A65,[2]ticket_pivot!$A$6:$V$127,2,FALSE)</f>
        <v>4891133.34</v>
      </c>
      <c r="C65" s="27">
        <f>VLOOKUP(A65,[2]ticket_pivot!$A$6:$V$127,3,FALSE)</f>
        <v>4719340.55</v>
      </c>
      <c r="D65" s="28">
        <f t="shared" si="4"/>
        <v>0.964876690521792</v>
      </c>
      <c r="E65" s="27">
        <f>VLOOKUP(A65,[2]ticket_pivot!$A$6:$V$127,4,FALSE)</f>
        <v>4711771.66</v>
      </c>
      <c r="F65" s="28">
        <f t="shared" si="5"/>
        <v>0.998396197536539</v>
      </c>
      <c r="G65" s="27">
        <f>VLOOKUP(A65,[2]Sheet12!$A$5:$G$125,2,FALSE)</f>
        <v>58350805.95</v>
      </c>
      <c r="H65" s="27"/>
      <c r="I65" s="28">
        <f t="shared" si="2"/>
        <v>0</v>
      </c>
      <c r="J65" s="27"/>
      <c r="K65" s="28">
        <f t="shared" si="3"/>
        <v>0</v>
      </c>
    </row>
    <row r="66" spans="1:11">
      <c r="A66" s="29" t="s">
        <v>77</v>
      </c>
      <c r="B66" s="30">
        <f>SUM(B63:B65)</f>
        <v>22540846.47</v>
      </c>
      <c r="C66" s="30">
        <f>SUM(C63:C65)</f>
        <v>21700704.67</v>
      </c>
      <c r="D66" s="31">
        <f t="shared" si="4"/>
        <v>0.962728027932839</v>
      </c>
      <c r="E66" s="30">
        <f>SUM(E63:E65)</f>
        <v>21031896.16</v>
      </c>
      <c r="F66" s="31">
        <f t="shared" si="5"/>
        <v>0.969180332151859</v>
      </c>
      <c r="G66" s="30">
        <f>SUM(G63:G65)</f>
        <v>272089012.51</v>
      </c>
      <c r="H66" s="30">
        <f>SUM(H63:H65)</f>
        <v>0</v>
      </c>
      <c r="I66" s="31">
        <f t="shared" si="2"/>
        <v>0</v>
      </c>
      <c r="J66" s="30">
        <f>SUM(J63:J65)</f>
        <v>1503462.9</v>
      </c>
      <c r="K66" s="31">
        <f t="shared" si="3"/>
        <v>0.00552562885994797</v>
      </c>
    </row>
    <row r="67" spans="1:11">
      <c r="A67" s="32" t="s">
        <v>78</v>
      </c>
      <c r="B67" s="33">
        <f>B66</f>
        <v>22540846.47</v>
      </c>
      <c r="C67" s="33">
        <f>C66</f>
        <v>21700704.67</v>
      </c>
      <c r="D67" s="34">
        <f t="shared" si="4"/>
        <v>0.962728027932839</v>
      </c>
      <c r="E67" s="33">
        <f>E66</f>
        <v>21031896.16</v>
      </c>
      <c r="F67" s="34">
        <f t="shared" si="5"/>
        <v>0.969180332151859</v>
      </c>
      <c r="G67" s="33">
        <f>G66</f>
        <v>272089012.51</v>
      </c>
      <c r="H67" s="33">
        <f>H66</f>
        <v>0</v>
      </c>
      <c r="I67" s="34">
        <f t="shared" ref="I67:I130" si="6">IFERROR(H67/G67,"")</f>
        <v>0</v>
      </c>
      <c r="J67" s="33">
        <f>J66</f>
        <v>1503462.9</v>
      </c>
      <c r="K67" s="34">
        <f t="shared" ref="K67:K130" si="7">IFERROR(J67/G67,"")</f>
        <v>0.00552562885994797</v>
      </c>
    </row>
    <row r="68" spans="1:11">
      <c r="A68" s="24" t="s">
        <v>79</v>
      </c>
      <c r="B68" s="25">
        <f>VLOOKUP(A68,[2]ticket_pivot!$A$6:$V$127,2,FALSE)</f>
        <v>6733847.1</v>
      </c>
      <c r="C68" s="25">
        <f>VLOOKUP(A68,[2]ticket_pivot!$A$6:$V$127,3,FALSE)</f>
        <v>6702533.61</v>
      </c>
      <c r="D68" s="26">
        <f t="shared" si="4"/>
        <v>0.995349836499851</v>
      </c>
      <c r="E68" s="25">
        <f>VLOOKUP(A68,[2]ticket_pivot!$A$6:$V$127,4,FALSE)</f>
        <v>6648668.94</v>
      </c>
      <c r="F68" s="26">
        <f t="shared" si="5"/>
        <v>0.991963536009781</v>
      </c>
      <c r="G68" s="25">
        <f>VLOOKUP(A68,[2]Sheet12!$A$5:$G$125,2,FALSE)</f>
        <v>88571427.81</v>
      </c>
      <c r="H68" s="25"/>
      <c r="I68" s="26">
        <f t="shared" si="6"/>
        <v>0</v>
      </c>
      <c r="J68" s="25">
        <f>VLOOKUP(A68,[2]PAR!$A$5:$H$120,2,FALSE)</f>
        <v>423272.47</v>
      </c>
      <c r="K68" s="26">
        <f t="shared" si="7"/>
        <v>0.00477888276688943</v>
      </c>
    </row>
    <row r="69" spans="1:11">
      <c r="A69" s="24" t="s">
        <v>80</v>
      </c>
      <c r="B69" s="27">
        <f>VLOOKUP(A69,[2]ticket_pivot!$A$6:$V$127,2,FALSE)</f>
        <v>12075158.61</v>
      </c>
      <c r="C69" s="27">
        <f>VLOOKUP(A69,[2]ticket_pivot!$A$6:$V$127,3,FALSE)</f>
        <v>10739868.56</v>
      </c>
      <c r="D69" s="28">
        <f t="shared" si="4"/>
        <v>0.88941842561851</v>
      </c>
      <c r="E69" s="27">
        <f>VLOOKUP(A69,[2]ticket_pivot!$A$6:$V$127,4,FALSE)</f>
        <v>10652971.64</v>
      </c>
      <c r="F69" s="28">
        <f t="shared" si="5"/>
        <v>0.991908940084831</v>
      </c>
      <c r="G69" s="27">
        <f>VLOOKUP(A69,[2]Sheet12!$A$5:$G$125,2,FALSE)</f>
        <v>114458092.64</v>
      </c>
      <c r="H69" s="27">
        <f>VLOOKUP(A69,[2]NPL!$A$5:$H$119,2,FALSE)</f>
        <v>635150.73</v>
      </c>
      <c r="I69" s="28">
        <f t="shared" si="6"/>
        <v>0.00554919897186922</v>
      </c>
      <c r="J69" s="27">
        <f>VLOOKUP(A69,[2]PAR!$A$5:$H$120,2,FALSE)</f>
        <v>635150.73</v>
      </c>
      <c r="K69" s="28">
        <f t="shared" si="7"/>
        <v>0.00554919897186922</v>
      </c>
    </row>
    <row r="70" spans="1:11">
      <c r="A70" s="24" t="s">
        <v>81</v>
      </c>
      <c r="B70" s="27">
        <f>VLOOKUP(A70,[2]ticket_pivot!$A$6:$V$127,2,FALSE)</f>
        <v>9837487.38</v>
      </c>
      <c r="C70" s="27">
        <f>VLOOKUP(A70,[2]ticket_pivot!$A$6:$V$127,3,FALSE)</f>
        <v>9881894.9</v>
      </c>
      <c r="D70" s="28">
        <f t="shared" si="4"/>
        <v>1.00451411201709</v>
      </c>
      <c r="E70" s="27">
        <f>VLOOKUP(A70,[2]ticket_pivot!$A$6:$V$127,4,FALSE)</f>
        <v>9837487.38</v>
      </c>
      <c r="F70" s="28">
        <f t="shared" si="5"/>
        <v>0.995506173618584</v>
      </c>
      <c r="G70" s="27">
        <f>VLOOKUP(A70,[2]Sheet12!$A$5:$G$125,2,FALSE)</f>
        <v>110871455.87</v>
      </c>
      <c r="H70" s="27"/>
      <c r="I70" s="28">
        <f t="shared" si="6"/>
        <v>0</v>
      </c>
      <c r="J70" s="27"/>
      <c r="K70" s="28">
        <f t="shared" si="7"/>
        <v>0</v>
      </c>
    </row>
    <row r="71" spans="1:11">
      <c r="A71" s="24" t="s">
        <v>82</v>
      </c>
      <c r="B71" s="25">
        <f>VLOOKUP(A71,[2]ticket_pivot!$A$6:$V$127,2,FALSE)</f>
        <v>6973090.21</v>
      </c>
      <c r="C71" s="25">
        <f>VLOOKUP(A71,[2]ticket_pivot!$A$6:$V$127,3,FALSE)</f>
        <v>6741795.56</v>
      </c>
      <c r="D71" s="26">
        <f t="shared" si="4"/>
        <v>0.966830394698134</v>
      </c>
      <c r="E71" s="25">
        <f>VLOOKUP(A71,[2]ticket_pivot!$A$6:$V$127,4,FALSE)</f>
        <v>6733222.29</v>
      </c>
      <c r="F71" s="26">
        <f t="shared" si="5"/>
        <v>0.998728340258363</v>
      </c>
      <c r="G71" s="25">
        <f>VLOOKUP(A71,[2]Sheet12!$A$5:$G$125,2,FALSE)</f>
        <v>122342770.16</v>
      </c>
      <c r="H71" s="25"/>
      <c r="I71" s="26">
        <f t="shared" si="6"/>
        <v>0</v>
      </c>
      <c r="J71" s="25"/>
      <c r="K71" s="26">
        <f t="shared" si="7"/>
        <v>0</v>
      </c>
    </row>
    <row r="72" spans="1:11">
      <c r="A72" s="29" t="s">
        <v>83</v>
      </c>
      <c r="B72" s="30">
        <f>SUM(B68:B71)</f>
        <v>35619583.3</v>
      </c>
      <c r="C72" s="30">
        <f>SUM(C68:C71)</f>
        <v>34066092.63</v>
      </c>
      <c r="D72" s="31">
        <f t="shared" si="4"/>
        <v>0.956386613034858</v>
      </c>
      <c r="E72" s="30">
        <f>SUM(E68:E71)</f>
        <v>33872350.25</v>
      </c>
      <c r="F72" s="31">
        <f t="shared" si="5"/>
        <v>0.994312750155873</v>
      </c>
      <c r="G72" s="30">
        <f>SUM(G68:G71)</f>
        <v>436243746.48</v>
      </c>
      <c r="H72" s="30">
        <f>SUM(H68:H71)</f>
        <v>635150.73</v>
      </c>
      <c r="I72" s="31">
        <f t="shared" si="6"/>
        <v>0.0014559537761285</v>
      </c>
      <c r="J72" s="30">
        <f>SUM(J68:J71)</f>
        <v>1058423.2</v>
      </c>
      <c r="K72" s="31">
        <f t="shared" si="7"/>
        <v>0.00242621976484544</v>
      </c>
    </row>
    <row r="73" spans="1:11">
      <c r="A73" s="24" t="s">
        <v>84</v>
      </c>
      <c r="B73" s="25">
        <f>VLOOKUP(A73,[2]ticket_pivot!$A$6:$V$127,2,FALSE)</f>
        <v>10241164.54</v>
      </c>
      <c r="C73" s="25">
        <f>VLOOKUP(A73,[2]ticket_pivot!$A$6:$V$127,3,FALSE)</f>
        <v>10253483.01</v>
      </c>
      <c r="D73" s="26">
        <f t="shared" si="4"/>
        <v>1.00120283879356</v>
      </c>
      <c r="E73" s="25">
        <f>VLOOKUP(A73,[2]ticket_pivot!$A$6:$V$127,4,FALSE)</f>
        <v>10241164.54</v>
      </c>
      <c r="F73" s="26">
        <f t="shared" si="5"/>
        <v>0.998798606289397</v>
      </c>
      <c r="G73" s="25">
        <f>VLOOKUP(A73,[2]Sheet12!$A$5:$G$125,2,FALSE)</f>
        <v>140427016.83</v>
      </c>
      <c r="H73" s="25"/>
      <c r="I73" s="26">
        <f t="shared" si="6"/>
        <v>0</v>
      </c>
      <c r="J73" s="25"/>
      <c r="K73" s="26">
        <f t="shared" si="7"/>
        <v>0</v>
      </c>
    </row>
    <row r="74" spans="1:11">
      <c r="A74" s="24" t="s">
        <v>85</v>
      </c>
      <c r="B74" s="27">
        <f>VLOOKUP(A74,[2]ticket_pivot!$A$6:$V$127,2,FALSE)</f>
        <v>17142854.27</v>
      </c>
      <c r="C74" s="27">
        <f>VLOOKUP(A74,[2]ticket_pivot!$A$6:$V$127,3,FALSE)</f>
        <v>16528715.76</v>
      </c>
      <c r="D74" s="28">
        <f t="shared" si="4"/>
        <v>0.964175247579702</v>
      </c>
      <c r="E74" s="27">
        <f>VLOOKUP(A74,[2]ticket_pivot!$A$6:$V$127,4,FALSE)</f>
        <v>16447614.04</v>
      </c>
      <c r="F74" s="28">
        <f t="shared" si="5"/>
        <v>0.995093283641778</v>
      </c>
      <c r="G74" s="27">
        <f>VLOOKUP(A74,[2]Sheet12!$A$5:$G$125,2,FALSE)</f>
        <v>222479409.37</v>
      </c>
      <c r="H74" s="27"/>
      <c r="I74" s="28">
        <f t="shared" si="6"/>
        <v>0</v>
      </c>
      <c r="J74" s="27">
        <f>VLOOKUP(A74,[2]PAR!$A$5:$H$120,2,FALSE)</f>
        <v>1221046.22</v>
      </c>
      <c r="K74" s="28">
        <f t="shared" si="7"/>
        <v>0.00548835608408735</v>
      </c>
    </row>
    <row r="75" spans="1:11">
      <c r="A75" s="29" t="s">
        <v>86</v>
      </c>
      <c r="B75" s="30">
        <f>SUM(B73:B74)</f>
        <v>27384018.81</v>
      </c>
      <c r="C75" s="30">
        <f>SUM(C73:C74)</f>
        <v>26782198.77</v>
      </c>
      <c r="D75" s="31">
        <f t="shared" si="4"/>
        <v>0.978022946734895</v>
      </c>
      <c r="E75" s="30">
        <f>SUM(E73:E74)</f>
        <v>26688778.58</v>
      </c>
      <c r="F75" s="31">
        <f t="shared" si="5"/>
        <v>0.996511855101881</v>
      </c>
      <c r="G75" s="30">
        <f>SUM(G73:G74)</f>
        <v>362906426.2</v>
      </c>
      <c r="H75" s="30">
        <f>SUM(H73:H74)</f>
        <v>0</v>
      </c>
      <c r="I75" s="31">
        <f t="shared" si="6"/>
        <v>0</v>
      </c>
      <c r="J75" s="30">
        <f>SUM(J73:J74)</f>
        <v>1221046.22</v>
      </c>
      <c r="K75" s="31">
        <f t="shared" si="7"/>
        <v>0.00336463102289369</v>
      </c>
    </row>
    <row r="76" spans="1:11">
      <c r="A76" s="32" t="s">
        <v>87</v>
      </c>
      <c r="B76" s="33">
        <f>SUM(B75,B72)</f>
        <v>63003602.11</v>
      </c>
      <c r="C76" s="33">
        <f>SUM(C75,C72)</f>
        <v>60848291.4</v>
      </c>
      <c r="D76" s="34">
        <f t="shared" si="4"/>
        <v>0.965790674853209</v>
      </c>
      <c r="E76" s="33">
        <f>SUM(E75,E72)</f>
        <v>60561128.83</v>
      </c>
      <c r="F76" s="34">
        <f t="shared" si="5"/>
        <v>0.995280679812154</v>
      </c>
      <c r="G76" s="33">
        <f>SUM(G75,G72)</f>
        <v>799150172.68</v>
      </c>
      <c r="H76" s="33">
        <f>SUM(H75,H72)</f>
        <v>635150.73</v>
      </c>
      <c r="I76" s="34">
        <f t="shared" si="6"/>
        <v>0.000794782697562315</v>
      </c>
      <c r="J76" s="33">
        <f>SUM(J75,J72)</f>
        <v>2279469.42</v>
      </c>
      <c r="K76" s="34">
        <f t="shared" si="7"/>
        <v>0.00285236679904061</v>
      </c>
    </row>
    <row r="77" spans="1:11">
      <c r="A77" s="35" t="s">
        <v>88</v>
      </c>
      <c r="B77" s="36">
        <f>SUM(B76,B67,B62)</f>
        <v>133994065.02</v>
      </c>
      <c r="C77" s="36">
        <f>SUM(C76,C67,C62)</f>
        <v>127184238.46</v>
      </c>
      <c r="D77" s="37">
        <f t="shared" si="4"/>
        <v>0.949178147860627</v>
      </c>
      <c r="E77" s="36">
        <f>SUM(E76,E67,E62)</f>
        <v>125123343.35</v>
      </c>
      <c r="F77" s="37">
        <f t="shared" si="5"/>
        <v>0.983795986554984</v>
      </c>
      <c r="G77" s="36">
        <f>SUM(G76,G67,G62)</f>
        <v>1962886274.03</v>
      </c>
      <c r="H77" s="36">
        <f>SUM(H76,H67,H62)</f>
        <v>635150.73</v>
      </c>
      <c r="I77" s="37">
        <f t="shared" si="6"/>
        <v>0.000323579994624942</v>
      </c>
      <c r="J77" s="36">
        <f>SUM(J76,J67,J62)</f>
        <v>18765422.99</v>
      </c>
      <c r="K77" s="37">
        <f t="shared" si="7"/>
        <v>0.00956011728151358</v>
      </c>
    </row>
    <row r="78" spans="1:11">
      <c r="A78" s="24" t="s">
        <v>89</v>
      </c>
      <c r="B78" s="27">
        <f>VLOOKUP(A78,[2]ticket_pivot!$A$6:$V$127,2,FALSE)</f>
        <v>14997076.27</v>
      </c>
      <c r="C78" s="27">
        <f>VLOOKUP(A78,[2]ticket_pivot!$A$6:$V$127,3,FALSE)</f>
        <v>14981308.51</v>
      </c>
      <c r="D78" s="28">
        <f t="shared" si="4"/>
        <v>0.998948611068176</v>
      </c>
      <c r="E78" s="27">
        <f>VLOOKUP(A78,[2]ticket_pivot!$A$6:$V$127,4,FALSE)</f>
        <v>14814362.52</v>
      </c>
      <c r="F78" s="28">
        <f t="shared" si="5"/>
        <v>0.988856381277473</v>
      </c>
      <c r="G78" s="27">
        <f>VLOOKUP(A78,[2]Sheet12!$A$5:$G$125,2,FALSE)</f>
        <v>146365975.45</v>
      </c>
      <c r="H78" s="27"/>
      <c r="I78" s="28">
        <f t="shared" si="6"/>
        <v>0</v>
      </c>
      <c r="J78" s="27"/>
      <c r="K78" s="28">
        <f t="shared" si="7"/>
        <v>0</v>
      </c>
    </row>
    <row r="79" spans="1:11">
      <c r="A79" s="24" t="s">
        <v>90</v>
      </c>
      <c r="B79" s="25">
        <f>VLOOKUP(A79,[2]ticket_pivot!$A$6:$V$127,2,FALSE)</f>
        <v>8520939.37</v>
      </c>
      <c r="C79" s="25">
        <f>VLOOKUP(A79,[2]ticket_pivot!$A$6:$V$127,3,FALSE)</f>
        <v>8526111.9</v>
      </c>
      <c r="D79" s="26">
        <f t="shared" si="4"/>
        <v>1.00060703753136</v>
      </c>
      <c r="E79" s="25">
        <f>VLOOKUP(A79,[2]ticket_pivot!$A$6:$V$127,4,FALSE)</f>
        <v>8520939.37</v>
      </c>
      <c r="F79" s="26">
        <f t="shared" si="5"/>
        <v>0.999393330739655</v>
      </c>
      <c r="G79" s="25">
        <f>VLOOKUP(A79,[2]Sheet12!$A$5:$G$125,2,FALSE)</f>
        <v>106569661.64</v>
      </c>
      <c r="H79" s="25"/>
      <c r="I79" s="26">
        <f t="shared" si="6"/>
        <v>0</v>
      </c>
      <c r="J79" s="25"/>
      <c r="K79" s="26">
        <f t="shared" si="7"/>
        <v>0</v>
      </c>
    </row>
    <row r="80" spans="1:11">
      <c r="A80" s="24" t="s">
        <v>91</v>
      </c>
      <c r="B80" s="27">
        <f>VLOOKUP(A80,[2]ticket_pivot!$A$6:$V$127,2,FALSE)</f>
        <v>39647415.4</v>
      </c>
      <c r="C80" s="27">
        <f>VLOOKUP(A80,[2]ticket_pivot!$A$6:$V$127,3,FALSE)</f>
        <v>27760178.91</v>
      </c>
      <c r="D80" s="28">
        <f t="shared" si="4"/>
        <v>0.700176256886597</v>
      </c>
      <c r="E80" s="27">
        <f>VLOOKUP(A80,[2]ticket_pivot!$A$6:$V$127,4,FALSE)</f>
        <v>27700488.02</v>
      </c>
      <c r="F80" s="28">
        <f t="shared" si="5"/>
        <v>0.997849765659165</v>
      </c>
      <c r="G80" s="27">
        <f>VLOOKUP(A80,[2]Sheet12!$A$5:$G$125,2,FALSE)</f>
        <v>245457946.55</v>
      </c>
      <c r="H80" s="27">
        <f>VLOOKUP(A80,[2]NPL!$A$5:$H$119,2,FALSE)</f>
        <v>3992796.94</v>
      </c>
      <c r="I80" s="28">
        <f t="shared" si="6"/>
        <v>0.0162667250994323</v>
      </c>
      <c r="J80" s="27">
        <f>VLOOKUP(A80,[2]PAR!$A$5:$H$120,2,FALSE)</f>
        <v>3992796.94</v>
      </c>
      <c r="K80" s="28">
        <f t="shared" si="7"/>
        <v>0.0162667250994323</v>
      </c>
    </row>
    <row r="81" spans="1:11">
      <c r="A81" s="24" t="s">
        <v>92</v>
      </c>
      <c r="B81" s="27">
        <f>VLOOKUP(A81,[2]ticket_pivot!$A$6:$V$127,2,FALSE)</f>
        <v>38642633.14</v>
      </c>
      <c r="C81" s="27">
        <f>VLOOKUP(A81,[2]ticket_pivot!$A$6:$V$127,3,FALSE)</f>
        <v>21336815.57</v>
      </c>
      <c r="D81" s="28">
        <f t="shared" si="4"/>
        <v>0.552157392916212</v>
      </c>
      <c r="E81" s="27">
        <f>VLOOKUP(A81,[2]ticket_pivot!$A$6:$V$127,4,FALSE)</f>
        <v>21313868.48</v>
      </c>
      <c r="F81" s="28">
        <f t="shared" si="5"/>
        <v>0.998924530704935</v>
      </c>
      <c r="G81" s="27">
        <f>VLOOKUP(A81,[2]Sheet12!$A$5:$G$125,2,FALSE)</f>
        <v>269828979.91</v>
      </c>
      <c r="H81" s="27"/>
      <c r="I81" s="28">
        <f t="shared" si="6"/>
        <v>0</v>
      </c>
      <c r="J81" s="27">
        <f>VLOOKUP(A81,[2]PAR!$A$5:$H$120,2,FALSE)</f>
        <v>1414301.24</v>
      </c>
      <c r="K81" s="28">
        <f t="shared" si="7"/>
        <v>0.00524147273014089</v>
      </c>
    </row>
    <row r="82" spans="1:11">
      <c r="A82" s="29" t="s">
        <v>93</v>
      </c>
      <c r="B82" s="30">
        <f>SUM(B78:B81)</f>
        <v>101808064.18</v>
      </c>
      <c r="C82" s="30">
        <f>SUM(C78:C81)</f>
        <v>72604414.89</v>
      </c>
      <c r="D82" s="31">
        <f t="shared" si="4"/>
        <v>0.713149940280104</v>
      </c>
      <c r="E82" s="30">
        <f>SUM(E78:E81)</f>
        <v>72349658.39</v>
      </c>
      <c r="F82" s="31">
        <f t="shared" si="5"/>
        <v>0.996491170676247</v>
      </c>
      <c r="G82" s="30">
        <f>SUM(G78:G81)</f>
        <v>768222563.55</v>
      </c>
      <c r="H82" s="30">
        <f>SUM(H78:H81)</f>
        <v>3992796.94</v>
      </c>
      <c r="I82" s="31">
        <f t="shared" si="6"/>
        <v>0.00519744814777251</v>
      </c>
      <c r="J82" s="30">
        <f>SUM(J78:J81)</f>
        <v>5407098.18</v>
      </c>
      <c r="K82" s="31">
        <f t="shared" si="7"/>
        <v>0.00703845270440052</v>
      </c>
    </row>
    <row r="83" spans="1:11">
      <c r="A83" s="24" t="s">
        <v>94</v>
      </c>
      <c r="B83" s="27">
        <f>VLOOKUP(A83,[2]ticket_pivot!$A$6:$V$127,2,FALSE)</f>
        <v>23462904.95</v>
      </c>
      <c r="C83" s="27">
        <f>VLOOKUP(A83,[2]ticket_pivot!$A$6:$V$127,3,FALSE)</f>
        <v>14822786.7</v>
      </c>
      <c r="D83" s="28">
        <f t="shared" si="4"/>
        <v>0.631754112783038</v>
      </c>
      <c r="E83" s="27">
        <f>VLOOKUP(A83,[2]ticket_pivot!$A$6:$V$127,4,FALSE)</f>
        <v>14698075.5</v>
      </c>
      <c r="F83" s="28">
        <f t="shared" si="5"/>
        <v>0.991586521311812</v>
      </c>
      <c r="G83" s="27">
        <f>VLOOKUP(A83,[2]Sheet12!$A$5:$G$125,2,FALSE)</f>
        <v>156530523.87</v>
      </c>
      <c r="H83" s="27"/>
      <c r="I83" s="28">
        <f t="shared" si="6"/>
        <v>0</v>
      </c>
      <c r="J83" s="27">
        <f>VLOOKUP(A83,[2]PAR!$A$5:$H$120,2,FALSE)</f>
        <v>1464195.41</v>
      </c>
      <c r="K83" s="28">
        <f t="shared" si="7"/>
        <v>0.00935405679224601</v>
      </c>
    </row>
    <row r="84" spans="1:11">
      <c r="A84" s="24" t="s">
        <v>95</v>
      </c>
      <c r="B84" s="27">
        <f>VLOOKUP(A84,[2]ticket_pivot!$A$6:$V$127,2,FALSE)</f>
        <v>12082543.96</v>
      </c>
      <c r="C84" s="27">
        <f>VLOOKUP(A84,[2]ticket_pivot!$A$6:$V$127,3,FALSE)</f>
        <v>10280113.47</v>
      </c>
      <c r="D84" s="28">
        <f t="shared" si="4"/>
        <v>0.850823593444637</v>
      </c>
      <c r="E84" s="27">
        <f>VLOOKUP(A84,[2]ticket_pivot!$A$6:$V$127,4,FALSE)</f>
        <v>10270351.08</v>
      </c>
      <c r="F84" s="28">
        <f t="shared" si="5"/>
        <v>0.999050361649365</v>
      </c>
      <c r="G84" s="27">
        <f>VLOOKUP(A84,[2]Sheet12!$A$5:$G$125,2,FALSE)</f>
        <v>137494059.69</v>
      </c>
      <c r="H84" s="27"/>
      <c r="I84" s="28">
        <f t="shared" si="6"/>
        <v>0</v>
      </c>
      <c r="J84" s="27"/>
      <c r="K84" s="28">
        <f t="shared" si="7"/>
        <v>0</v>
      </c>
    </row>
    <row r="85" spans="1:11">
      <c r="A85" s="29" t="s">
        <v>96</v>
      </c>
      <c r="B85" s="30">
        <f>SUM(B83:B84)</f>
        <v>35545448.91</v>
      </c>
      <c r="C85" s="30">
        <f>SUM(C83:C84)</f>
        <v>25102900.17</v>
      </c>
      <c r="D85" s="31">
        <f t="shared" si="4"/>
        <v>0.70621980984288</v>
      </c>
      <c r="E85" s="30">
        <f>SUM(E83:E84)</f>
        <v>24968426.58</v>
      </c>
      <c r="F85" s="31">
        <f t="shared" si="5"/>
        <v>0.994643105414541</v>
      </c>
      <c r="G85" s="30">
        <f>SUM(G83:G84)</f>
        <v>294024583.56</v>
      </c>
      <c r="H85" s="30">
        <f>SUM(H83:H84)</f>
        <v>0</v>
      </c>
      <c r="I85" s="31">
        <f t="shared" si="6"/>
        <v>0</v>
      </c>
      <c r="J85" s="30">
        <f>SUM(J83:J84)</f>
        <v>1464195.41</v>
      </c>
      <c r="K85" s="31">
        <f t="shared" si="7"/>
        <v>0.00497984009456546</v>
      </c>
    </row>
    <row r="86" spans="1:11">
      <c r="A86" s="24" t="s">
        <v>97</v>
      </c>
      <c r="B86" s="25">
        <f>VLOOKUP(A86,[2]ticket_pivot!$A$4:$V$127,2,FALSE)</f>
        <v>13612680.32</v>
      </c>
      <c r="C86" s="25">
        <f>VLOOKUP(A86,[2]ticket_pivot!$A$6:$V$127,3,FALSE)</f>
        <v>11764222.11</v>
      </c>
      <c r="D86" s="26">
        <f t="shared" si="4"/>
        <v>0.864210562023982</v>
      </c>
      <c r="E86" s="25">
        <f>VLOOKUP(A86,[2]ticket_pivot!$A$6:$V$127,4,FALSE)</f>
        <v>11748981.84</v>
      </c>
      <c r="F86" s="26">
        <f t="shared" si="5"/>
        <v>0.998704523779176</v>
      </c>
      <c r="G86" s="25">
        <f>VLOOKUP(A86,[2]Sheet12!$A$5:$G$125,2,FALSE)</f>
        <v>178668007.58</v>
      </c>
      <c r="H86" s="25"/>
      <c r="I86" s="26">
        <f t="shared" si="6"/>
        <v>0</v>
      </c>
      <c r="J86" s="25">
        <f>VLOOKUP(A86,[2]PAR!$A$5:$H$120,2,FALSE)</f>
        <v>5766848.68</v>
      </c>
      <c r="K86" s="26">
        <f t="shared" si="7"/>
        <v>0.0322768958926116</v>
      </c>
    </row>
    <row r="87" spans="1:11">
      <c r="A87" s="24" t="s">
        <v>98</v>
      </c>
      <c r="B87" s="25">
        <f>VLOOKUP(A87,[2]ticket_pivot!$A$4:$V$127,2,FALSE)</f>
        <v>6221769.09</v>
      </c>
      <c r="C87" s="25">
        <f>VLOOKUP(A87,[2]ticket_pivot!$A$6:$V$127,3,FALSE)</f>
        <v>5975413.22</v>
      </c>
      <c r="D87" s="26">
        <f t="shared" si="4"/>
        <v>0.960404208765003</v>
      </c>
      <c r="E87" s="25">
        <f>VLOOKUP(A87,[2]ticket_pivot!$A$6:$V$127,4,FALSE)</f>
        <v>5969090.73</v>
      </c>
      <c r="F87" s="26">
        <f t="shared" si="5"/>
        <v>0.998941915852976</v>
      </c>
      <c r="G87" s="25">
        <f>VLOOKUP(A87,[2]Sheet12!$A$5:$G$125,2,FALSE)</f>
        <v>102502026.83</v>
      </c>
      <c r="H87" s="25"/>
      <c r="I87" s="26">
        <f t="shared" si="6"/>
        <v>0</v>
      </c>
      <c r="J87" s="25"/>
      <c r="K87" s="26">
        <f t="shared" si="7"/>
        <v>0</v>
      </c>
    </row>
    <row r="88" spans="1:11">
      <c r="A88" s="24" t="s">
        <v>99</v>
      </c>
      <c r="B88" s="27"/>
      <c r="C88" s="27"/>
      <c r="D88" s="28"/>
      <c r="E88" s="27"/>
      <c r="F88" s="28"/>
      <c r="G88" s="27"/>
      <c r="H88" s="27"/>
      <c r="I88" s="28" t="str">
        <f t="shared" si="6"/>
        <v/>
      </c>
      <c r="J88" s="27"/>
      <c r="K88" s="28" t="str">
        <f t="shared" si="7"/>
        <v/>
      </c>
    </row>
    <row r="89" spans="1:11">
      <c r="A89" s="29" t="s">
        <v>100</v>
      </c>
      <c r="B89" s="30">
        <f>SUM(B86:B88)</f>
        <v>19834449.41</v>
      </c>
      <c r="C89" s="30">
        <f>SUM(C86:C88)</f>
        <v>17739635.33</v>
      </c>
      <c r="D89" s="31">
        <f t="shared" ref="D89:D152" si="8">IFERROR(C89/B89,"")</f>
        <v>0.894385065262066</v>
      </c>
      <c r="E89" s="30">
        <f>SUM(E86:E88)</f>
        <v>17718072.57</v>
      </c>
      <c r="F89" s="31">
        <f t="shared" ref="F89:F152" si="9">IFERROR(E89/C89,"")</f>
        <v>0.998784486851117</v>
      </c>
      <c r="G89" s="30">
        <f>SUM(G86:G88)</f>
        <v>281170034.41</v>
      </c>
      <c r="H89" s="30">
        <f>SUM(H86:H88)</f>
        <v>0</v>
      </c>
      <c r="I89" s="31">
        <f t="shared" si="6"/>
        <v>0</v>
      </c>
      <c r="J89" s="30">
        <f>SUM(J86:J88)</f>
        <v>5766848.68</v>
      </c>
      <c r="K89" s="31">
        <f t="shared" si="7"/>
        <v>0.0205101823602967</v>
      </c>
    </row>
    <row r="90" spans="1:11">
      <c r="A90" s="32" t="s">
        <v>101</v>
      </c>
      <c r="B90" s="33">
        <f>SUM(B89,B85,B82)</f>
        <v>157187962.5</v>
      </c>
      <c r="C90" s="33">
        <f>SUM(C89,C85,C82)</f>
        <v>115446950.39</v>
      </c>
      <c r="D90" s="34">
        <f t="shared" si="8"/>
        <v>0.734451598925713</v>
      </c>
      <c r="E90" s="33">
        <f>SUM(E89,E85,E82)</f>
        <v>115036157.54</v>
      </c>
      <c r="F90" s="34">
        <f t="shared" si="9"/>
        <v>0.996441717614781</v>
      </c>
      <c r="G90" s="33">
        <f>SUM(G89,G85,G82)</f>
        <v>1343417181.52</v>
      </c>
      <c r="H90" s="33">
        <f>SUM(H89,H85,H82)</f>
        <v>3992796.94</v>
      </c>
      <c r="I90" s="34">
        <f t="shared" si="6"/>
        <v>0.00297211990059735</v>
      </c>
      <c r="J90" s="33">
        <f>SUM(J89,J85,J82)</f>
        <v>12638142.27</v>
      </c>
      <c r="K90" s="34">
        <f t="shared" si="7"/>
        <v>0.00940745916000617</v>
      </c>
    </row>
    <row r="91" spans="1:11">
      <c r="A91" s="24" t="s">
        <v>102</v>
      </c>
      <c r="B91" s="25">
        <f>VLOOKUP(A91,[2]ticket_pivot!$A$4:$V$127,2,FALSE)</f>
        <v>10864751.84</v>
      </c>
      <c r="C91" s="25">
        <f>VLOOKUP(A91,[2]ticket_pivot!$A$4:$V$127,3,FALSE)</f>
        <v>9398521.72</v>
      </c>
      <c r="D91" s="26">
        <f t="shared" si="8"/>
        <v>0.865047067655804</v>
      </c>
      <c r="E91" s="25">
        <f>VLOOKUP(A91,[2]ticket_pivot!$A$4:$V$127,4,FALSE)</f>
        <v>9377547.94</v>
      </c>
      <c r="F91" s="26">
        <f t="shared" si="9"/>
        <v>0.997768395857897</v>
      </c>
      <c r="G91" s="25">
        <f>VLOOKUP(A91,[2]Sheet12!$A$4:$G$125,2,FALSE)</f>
        <v>116930488.35</v>
      </c>
      <c r="H91" s="25">
        <f>VLOOKUP(A91,[2]NPL!$A$4:$H$119,2,FALSE)</f>
        <v>1821800.82</v>
      </c>
      <c r="I91" s="26">
        <f t="shared" si="6"/>
        <v>0.0155802036381387</v>
      </c>
      <c r="J91" s="25">
        <f>VLOOKUP(A91,[2]PAR!$A$4:$H$120,2,FALSE)</f>
        <v>1821800.82</v>
      </c>
      <c r="K91" s="26">
        <f t="shared" si="7"/>
        <v>0.0155802036381387</v>
      </c>
    </row>
    <row r="92" spans="1:11">
      <c r="A92" s="24" t="s">
        <v>103</v>
      </c>
      <c r="B92" s="27">
        <f>VLOOKUP(A92,[2]ticket_pivot!$A$6:$V$127,2,FALSE)</f>
        <v>10254447.8</v>
      </c>
      <c r="C92" s="27">
        <f>VLOOKUP(A92,[2]ticket_pivot!$A$6:$V$127,3,FALSE)</f>
        <v>10157745.82</v>
      </c>
      <c r="D92" s="28">
        <f t="shared" si="8"/>
        <v>0.990569752571172</v>
      </c>
      <c r="E92" s="27">
        <f>VLOOKUP(A92,[2]ticket_pivot!$A$6:$V$127,4,FALSE)</f>
        <v>9939889.3</v>
      </c>
      <c r="F92" s="28">
        <f t="shared" si="9"/>
        <v>0.978552670655427</v>
      </c>
      <c r="G92" s="27">
        <f>VLOOKUP(A92,[2]Sheet12!$A$5:$G$125,2,FALSE)</f>
        <v>140297485.06</v>
      </c>
      <c r="H92" s="27"/>
      <c r="I92" s="28">
        <f t="shared" si="6"/>
        <v>0</v>
      </c>
      <c r="J92" s="27">
        <f>VLOOKUP(A92,[2]PAR!$A$5:$H$120,2,FALSE)</f>
        <v>905925.4</v>
      </c>
      <c r="K92" s="28">
        <f t="shared" si="7"/>
        <v>0.00645717490668182</v>
      </c>
    </row>
    <row r="93" spans="1:11">
      <c r="A93" s="24" t="s">
        <v>104</v>
      </c>
      <c r="B93" s="27">
        <f>VLOOKUP(A93,[2]ticket_pivot!$A$6:$V$127,2,FALSE)</f>
        <v>5747868.53</v>
      </c>
      <c r="C93" s="27">
        <f>VLOOKUP(A93,[2]ticket_pivot!$A$6:$V$127,3,FALSE)</f>
        <v>4769688.34</v>
      </c>
      <c r="D93" s="28">
        <f t="shared" si="8"/>
        <v>0.82981862147776</v>
      </c>
      <c r="E93" s="27">
        <f>VLOOKUP(A93,[2]ticket_pivot!$A$6:$V$127,4,FALSE)</f>
        <v>4551741.48</v>
      </c>
      <c r="F93" s="28">
        <f t="shared" si="9"/>
        <v>0.954305848838752</v>
      </c>
      <c r="G93" s="27">
        <f>VLOOKUP(A93,[2]Sheet12!$A$5:$G$125,2,FALSE)</f>
        <v>66845803.66</v>
      </c>
      <c r="H93" s="27"/>
      <c r="I93" s="28">
        <f t="shared" si="6"/>
        <v>0</v>
      </c>
      <c r="J93" s="27">
        <f>VLOOKUP(A93,[2]PAR!$A$5:$H$120,2,FALSE)</f>
        <v>4736867.29</v>
      </c>
      <c r="K93" s="28">
        <f t="shared" si="7"/>
        <v>0.0708625976597317</v>
      </c>
    </row>
    <row r="94" spans="1:11">
      <c r="A94" s="29" t="s">
        <v>105</v>
      </c>
      <c r="B94" s="30">
        <f>SUM(B91:B93)</f>
        <v>26867068.17</v>
      </c>
      <c r="C94" s="30">
        <f>SUM(C91:C93)</f>
        <v>24325955.88</v>
      </c>
      <c r="D94" s="31">
        <f t="shared" si="8"/>
        <v>0.905419070144861</v>
      </c>
      <c r="E94" s="30">
        <f>SUM(E91:E93)</f>
        <v>23869178.72</v>
      </c>
      <c r="F94" s="31">
        <f t="shared" si="9"/>
        <v>0.981222642914701</v>
      </c>
      <c r="G94" s="30">
        <f>SUM(G91:G93)</f>
        <v>324073777.07</v>
      </c>
      <c r="H94" s="30">
        <f>SUM(H91:H93)</f>
        <v>1821800.82</v>
      </c>
      <c r="I94" s="31">
        <f t="shared" si="6"/>
        <v>0.00562156196799129</v>
      </c>
      <c r="J94" s="30">
        <f>SUM(J91:J93)</f>
        <v>7464593.51</v>
      </c>
      <c r="K94" s="31">
        <f t="shared" si="7"/>
        <v>0.0230336239404759</v>
      </c>
    </row>
    <row r="95" spans="1:11">
      <c r="A95" s="24" t="s">
        <v>106</v>
      </c>
      <c r="B95" s="25">
        <f>VLOOKUP(A95,[2]ticket_pivot!$A$6:$V$127,2,FALSE)</f>
        <v>4364067.35</v>
      </c>
      <c r="C95" s="25">
        <f>VLOOKUP(A95,[2]ticket_pivot!$A$6:$V$127,3,FALSE)</f>
        <v>4074406.03</v>
      </c>
      <c r="D95" s="26">
        <f t="shared" si="8"/>
        <v>0.933625836457359</v>
      </c>
      <c r="E95" s="25">
        <f>VLOOKUP(A95,[2]ticket_pivot!$A$6:$V$127,4,FALSE)</f>
        <v>4070117.85</v>
      </c>
      <c r="F95" s="26">
        <f t="shared" si="9"/>
        <v>0.998947532482422</v>
      </c>
      <c r="G95" s="25">
        <f>VLOOKUP(A95,[2]Sheet12!$A$5:$G$125,2,FALSE)</f>
        <v>58680805.05</v>
      </c>
      <c r="H95" s="25"/>
      <c r="I95" s="26">
        <f t="shared" si="6"/>
        <v>0</v>
      </c>
      <c r="J95" s="25"/>
      <c r="K95" s="26">
        <f t="shared" si="7"/>
        <v>0</v>
      </c>
    </row>
    <row r="96" spans="1:11">
      <c r="A96" s="24" t="s">
        <v>107</v>
      </c>
      <c r="B96" s="25">
        <f>VLOOKUP(A96,[2]ticket_pivot!$A$6:$V$127,2,FALSE)</f>
        <v>4265228.32</v>
      </c>
      <c r="C96" s="25">
        <f>VLOOKUP(A96,[2]ticket_pivot!$A$6:$V$127,3,FALSE)</f>
        <v>4111553.57</v>
      </c>
      <c r="D96" s="26">
        <f t="shared" si="8"/>
        <v>0.963970334418111</v>
      </c>
      <c r="E96" s="25">
        <f>VLOOKUP(A96,[2]ticket_pivot!$A$6:$V$127,4,FALSE)</f>
        <v>4084221.87</v>
      </c>
      <c r="F96" s="26">
        <f t="shared" si="9"/>
        <v>0.9933524640906</v>
      </c>
      <c r="G96" s="25">
        <f>VLOOKUP(A96,[2]Sheet12!$A$5:$G$125,2,FALSE)</f>
        <v>48416598.47</v>
      </c>
      <c r="H96" s="25"/>
      <c r="I96" s="26">
        <f t="shared" si="6"/>
        <v>0</v>
      </c>
      <c r="J96" s="25">
        <f>VLOOKUP(A96,[2]PAR!$A$5:$H$120,2,FALSE)</f>
        <v>437405.22</v>
      </c>
      <c r="K96" s="26">
        <f t="shared" si="7"/>
        <v>0.00903419971295641</v>
      </c>
    </row>
    <row r="97" spans="1:11">
      <c r="A97" s="24" t="s">
        <v>108</v>
      </c>
      <c r="B97" s="27">
        <f>VLOOKUP(A97,[2]ticket_pivot!$A$6:$V$127,2,FALSE)</f>
        <v>12544355.8</v>
      </c>
      <c r="C97" s="27">
        <f>VLOOKUP(A97,[2]ticket_pivot!$A$6:$V$127,3,FALSE)</f>
        <v>9901771.39</v>
      </c>
      <c r="D97" s="28">
        <f t="shared" si="8"/>
        <v>0.789340763915513</v>
      </c>
      <c r="E97" s="27">
        <f>VLOOKUP(A97,[2]ticket_pivot!$A$6:$V$127,4,FALSE)</f>
        <v>9812855.86</v>
      </c>
      <c r="F97" s="28">
        <f t="shared" si="9"/>
        <v>0.991020240066359</v>
      </c>
      <c r="G97" s="27">
        <f>VLOOKUP(A97,[2]Sheet12!$A$5:$G$125,2,FALSE)</f>
        <v>139310133.65</v>
      </c>
      <c r="H97" s="27">
        <f>VLOOKUP(A97,[2]NPL!$A$5:$H$119,2,FALSE)</f>
        <v>608455.53</v>
      </c>
      <c r="I97" s="28">
        <f t="shared" si="6"/>
        <v>0.00436763295000974</v>
      </c>
      <c r="J97" s="27">
        <f>VLOOKUP(A97,[2]PAR!$A$5:$H$120,2,FALSE)</f>
        <v>9479963.82</v>
      </c>
      <c r="K97" s="28">
        <f t="shared" si="7"/>
        <v>0.0680493483971329</v>
      </c>
    </row>
    <row r="98" spans="1:11">
      <c r="A98" s="29" t="s">
        <v>109</v>
      </c>
      <c r="B98" s="30">
        <f>SUM(B95:B97)</f>
        <v>21173651.47</v>
      </c>
      <c r="C98" s="30">
        <f>SUM(C95:C97)</f>
        <v>18087730.99</v>
      </c>
      <c r="D98" s="31">
        <f t="shared" si="8"/>
        <v>0.854256575235863</v>
      </c>
      <c r="E98" s="30">
        <f>SUM(E95:E97)</f>
        <v>17967195.58</v>
      </c>
      <c r="F98" s="31">
        <f t="shared" si="9"/>
        <v>0.993336067964156</v>
      </c>
      <c r="G98" s="30">
        <f>SUM(G95:G97)</f>
        <v>246407537.17</v>
      </c>
      <c r="H98" s="30">
        <f>SUM(H95:H97)</f>
        <v>608455.53</v>
      </c>
      <c r="I98" s="31">
        <f t="shared" si="6"/>
        <v>0.00246930567541941</v>
      </c>
      <c r="J98" s="30">
        <f>SUM(J95:J97)</f>
        <v>9917369.04</v>
      </c>
      <c r="K98" s="31">
        <f t="shared" si="7"/>
        <v>0.0402478315148204</v>
      </c>
    </row>
    <row r="99" spans="1:11">
      <c r="A99" s="32" t="s">
        <v>110</v>
      </c>
      <c r="B99" s="33">
        <f>SUM(B98,B94)</f>
        <v>48040719.64</v>
      </c>
      <c r="C99" s="33">
        <f>SUM(C98,C94)</f>
        <v>42413686.87</v>
      </c>
      <c r="D99" s="34">
        <f t="shared" si="8"/>
        <v>0.882869515440922</v>
      </c>
      <c r="E99" s="33">
        <f>SUM(E98,E94)</f>
        <v>41836374.3</v>
      </c>
      <c r="F99" s="34">
        <f t="shared" si="9"/>
        <v>0.986388531330241</v>
      </c>
      <c r="G99" s="33">
        <f>SUM(G98,G94)</f>
        <v>570481314.24</v>
      </c>
      <c r="H99" s="33">
        <f>SUM(H98,H94)</f>
        <v>2430256.35</v>
      </c>
      <c r="I99" s="34">
        <f t="shared" si="6"/>
        <v>0.00426001043213415</v>
      </c>
      <c r="J99" s="33">
        <f>SUM(J98,J94)</f>
        <v>17381962.55</v>
      </c>
      <c r="K99" s="34">
        <f t="shared" si="7"/>
        <v>0.0304689428314692</v>
      </c>
    </row>
    <row r="100" spans="1:11">
      <c r="A100" s="24" t="s">
        <v>111</v>
      </c>
      <c r="B100" s="27">
        <f>VLOOKUP(A100,[2]ticket_pivot!$A$6:$V$127,2,FALSE)</f>
        <v>7552658.77</v>
      </c>
      <c r="C100" s="27">
        <f>VLOOKUP(A100,[2]ticket_pivot!$A$6:$V$127,3,FALSE)</f>
        <v>7024015.75</v>
      </c>
      <c r="D100" s="28">
        <f t="shared" si="8"/>
        <v>0.930005705792002</v>
      </c>
      <c r="E100" s="27">
        <f>VLOOKUP(A100,[2]ticket_pivot!$A$6:$V$127,4,FALSE)</f>
        <v>6982924.58</v>
      </c>
      <c r="F100" s="28">
        <f t="shared" si="9"/>
        <v>0.994149903493596</v>
      </c>
      <c r="G100" s="27">
        <f>VLOOKUP(A100,[2]Sheet12!$A$5:$G$125,2,FALSE)</f>
        <v>127129772.49</v>
      </c>
      <c r="H100" s="27"/>
      <c r="I100" s="28">
        <f t="shared" si="6"/>
        <v>0</v>
      </c>
      <c r="J100" s="27">
        <f>VLOOKUP(A100,[2]PAR!$A$5:$H$120,2,FALSE)</f>
        <v>752240.07</v>
      </c>
      <c r="K100" s="28">
        <f t="shared" si="7"/>
        <v>0.00591710387949582</v>
      </c>
    </row>
    <row r="101" spans="1:11">
      <c r="A101" s="24" t="s">
        <v>112</v>
      </c>
      <c r="B101" s="25">
        <f>VLOOKUP(A101,[2]ticket_pivot!$A$6:$V$127,2,FALSE)</f>
        <v>17178613.75</v>
      </c>
      <c r="C101" s="25">
        <f>VLOOKUP(A101,[2]ticket_pivot!$A$6:$V$127,3,FALSE)</f>
        <v>15406048.57</v>
      </c>
      <c r="D101" s="26">
        <f t="shared" si="8"/>
        <v>0.896815586764094</v>
      </c>
      <c r="E101" s="25">
        <f>VLOOKUP(A101,[2]ticket_pivot!$A$6:$V$127,4,FALSE)</f>
        <v>15331026.13</v>
      </c>
      <c r="F101" s="26">
        <f t="shared" si="9"/>
        <v>0.995130325621192</v>
      </c>
      <c r="G101" s="25">
        <f>VLOOKUP(A101,[2]Sheet12!$A$5:$G$125,2,FALSE)</f>
        <v>307699172.16</v>
      </c>
      <c r="H101" s="25"/>
      <c r="I101" s="26">
        <f t="shared" si="6"/>
        <v>0</v>
      </c>
      <c r="J101" s="25">
        <f>VLOOKUP(A101,[2]PAR!$A$5:$H$120,2,FALSE)</f>
        <v>12060734.34</v>
      </c>
      <c r="K101" s="26">
        <f t="shared" si="7"/>
        <v>0.0391965121496283</v>
      </c>
    </row>
    <row r="102" spans="1:11">
      <c r="A102" s="24" t="s">
        <v>113</v>
      </c>
      <c r="B102" s="27">
        <f>VLOOKUP(A102,[2]ticket_pivot!$A$6:$V$127,2,FALSE)</f>
        <v>8792359.42</v>
      </c>
      <c r="C102" s="27">
        <f>VLOOKUP(A102,[2]ticket_pivot!$A$6:$V$127,3,FALSE)</f>
        <v>7926715.33</v>
      </c>
      <c r="D102" s="28">
        <f t="shared" si="8"/>
        <v>0.901545870835203</v>
      </c>
      <c r="E102" s="27">
        <f>VLOOKUP(A102,[2]ticket_pivot!$A$6:$V$127,4,FALSE)</f>
        <v>7920275.4</v>
      </c>
      <c r="F102" s="28">
        <f t="shared" si="9"/>
        <v>0.999187566383817</v>
      </c>
      <c r="G102" s="27">
        <f>VLOOKUP(A102,[2]Sheet12!$A$5:$G$125,2,FALSE)</f>
        <v>109067166.75</v>
      </c>
      <c r="H102" s="27"/>
      <c r="I102" s="28">
        <f t="shared" si="6"/>
        <v>0</v>
      </c>
      <c r="J102" s="27">
        <f>VLOOKUP(A102,[2]PAR!$A$5:$H$120,2,FALSE)</f>
        <v>1420266.12</v>
      </c>
      <c r="K102" s="28">
        <f t="shared" si="7"/>
        <v>0.0130219401706426</v>
      </c>
    </row>
    <row r="103" spans="1:11">
      <c r="A103" s="24" t="s">
        <v>114</v>
      </c>
      <c r="B103" s="27"/>
      <c r="C103" s="27"/>
      <c r="D103" s="28" t="str">
        <f t="shared" si="8"/>
        <v/>
      </c>
      <c r="E103" s="27"/>
      <c r="F103" s="28" t="str">
        <f t="shared" si="9"/>
        <v/>
      </c>
      <c r="G103" s="27"/>
      <c r="H103" s="27"/>
      <c r="I103" s="28" t="str">
        <f t="shared" si="6"/>
        <v/>
      </c>
      <c r="J103" s="27"/>
      <c r="K103" s="28" t="str">
        <f t="shared" si="7"/>
        <v/>
      </c>
    </row>
    <row r="104" spans="1:11">
      <c r="A104" s="29" t="s">
        <v>115</v>
      </c>
      <c r="B104" s="30">
        <f>SUM(B100:B103)</f>
        <v>33523631.94</v>
      </c>
      <c r="C104" s="30">
        <f>SUM(C100:C103)</f>
        <v>30356779.65</v>
      </c>
      <c r="D104" s="31">
        <f t="shared" si="8"/>
        <v>0.905533735256729</v>
      </c>
      <c r="E104" s="30">
        <f>SUM(E100:E103)</f>
        <v>30234226.11</v>
      </c>
      <c r="F104" s="31">
        <f t="shared" si="9"/>
        <v>0.995962893909928</v>
      </c>
      <c r="G104" s="30">
        <f>SUM(G100:G103)</f>
        <v>543896111.4</v>
      </c>
      <c r="H104" s="30">
        <f>SUM(H100:H103)</f>
        <v>0</v>
      </c>
      <c r="I104" s="31">
        <f t="shared" si="6"/>
        <v>0</v>
      </c>
      <c r="J104" s="30">
        <f>SUM(J100:J103)</f>
        <v>14233240.53</v>
      </c>
      <c r="K104" s="31">
        <f t="shared" si="7"/>
        <v>0.0261690426382409</v>
      </c>
    </row>
    <row r="105" spans="1:11">
      <c r="A105" s="24" t="s">
        <v>116</v>
      </c>
      <c r="B105" s="27">
        <f>VLOOKUP(A105,[2]ticket_pivot!$A$6:$V$127,2,FALSE)</f>
        <v>3408336.27</v>
      </c>
      <c r="C105" s="27">
        <f>VLOOKUP(A105,[2]ticket_pivot!$A$6:$V$127,3,FALSE)</f>
        <v>2991311.9</v>
      </c>
      <c r="D105" s="28">
        <f t="shared" si="8"/>
        <v>0.877645767035774</v>
      </c>
      <c r="E105" s="27">
        <f>VLOOKUP(A105,[2]ticket_pivot!$A$6:$V$127,4,FALSE)</f>
        <v>2882358.81</v>
      </c>
      <c r="F105" s="28">
        <f t="shared" si="9"/>
        <v>0.963576820591661</v>
      </c>
      <c r="G105" s="27">
        <f>VLOOKUP(A105,[2]Sheet12!$A$5:$G$125,2,FALSE)</f>
        <v>58628419.28</v>
      </c>
      <c r="H105" s="27"/>
      <c r="I105" s="28">
        <f t="shared" si="6"/>
        <v>0</v>
      </c>
      <c r="J105" s="27">
        <f>VLOOKUP(A105,[2]PAR!$A$5:$H$120,2,FALSE)</f>
        <v>598875.2</v>
      </c>
      <c r="K105" s="28">
        <f t="shared" si="7"/>
        <v>0.0102147594520648</v>
      </c>
    </row>
    <row r="106" spans="1:11">
      <c r="A106" s="24" t="s">
        <v>117</v>
      </c>
      <c r="B106" s="25">
        <f>VLOOKUP(A106,[2]ticket_pivot!$A$6:$V$127,2,FALSE)</f>
        <v>5469028.62</v>
      </c>
      <c r="C106" s="25">
        <f>VLOOKUP(A106,[2]ticket_pivot!$A$6:$V$127,3,FALSE)</f>
        <v>4369793.33</v>
      </c>
      <c r="D106" s="26">
        <f t="shared" si="8"/>
        <v>0.799007215654323</v>
      </c>
      <c r="E106" s="25">
        <f>VLOOKUP(A106,[2]ticket_pivot!$A$6:$V$127,4,FALSE)</f>
        <v>4307015.8</v>
      </c>
      <c r="F106" s="26">
        <f t="shared" si="9"/>
        <v>0.985633753072711</v>
      </c>
      <c r="G106" s="25">
        <f>VLOOKUP(A106,[2]Sheet12!$A$5:$G$125,2,FALSE)</f>
        <v>74183292.54</v>
      </c>
      <c r="H106" s="25">
        <f>VLOOKUP(A106,[2]NPL!$A$5:$H$119,2,FALSE)</f>
        <v>1385551.84</v>
      </c>
      <c r="I106" s="26">
        <f t="shared" si="6"/>
        <v>0.0186774109446936</v>
      </c>
      <c r="J106" s="25">
        <f>VLOOKUP(A106,[2]PAR!$A$5:$H$120,2,FALSE)</f>
        <v>2705659.07</v>
      </c>
      <c r="K106" s="26">
        <f t="shared" si="7"/>
        <v>0.0364726204157236</v>
      </c>
    </row>
    <row r="107" spans="1:11">
      <c r="A107" s="24" t="s">
        <v>118</v>
      </c>
      <c r="B107" s="27">
        <f>VLOOKUP(A107,[2]ticket_pivot!$A$6:$V$127,2,FALSE)</f>
        <v>5732981.61</v>
      </c>
      <c r="C107" s="27">
        <f>VLOOKUP(A107,[2]ticket_pivot!$A$6:$V$127,3,FALSE)</f>
        <v>5282280.71</v>
      </c>
      <c r="D107" s="28">
        <f t="shared" si="8"/>
        <v>0.921384555077964</v>
      </c>
      <c r="E107" s="27">
        <f>VLOOKUP(A107,[2]ticket_pivot!$A$6:$V$127,4,FALSE)</f>
        <v>5260491.73</v>
      </c>
      <c r="F107" s="28">
        <f t="shared" si="9"/>
        <v>0.995875081012118</v>
      </c>
      <c r="G107" s="27">
        <f>VLOOKUP(A107,[2]Sheet12!$A$5:$G$125,2,FALSE)</f>
        <v>129239010.39</v>
      </c>
      <c r="H107" s="27"/>
      <c r="I107" s="28">
        <f t="shared" si="6"/>
        <v>0</v>
      </c>
      <c r="J107" s="27">
        <f>VLOOKUP(A107,[2]PAR!$A$5:$H$120,2,FALSE)</f>
        <v>1832513.5</v>
      </c>
      <c r="K107" s="28">
        <f t="shared" si="7"/>
        <v>0.0141792597642932</v>
      </c>
    </row>
    <row r="108" spans="1:11">
      <c r="A108" s="24" t="s">
        <v>119</v>
      </c>
      <c r="B108" s="27">
        <f>VLOOKUP(A108,[2]ticket_pivot!$A$6:$V$127,2,FALSE)</f>
        <v>3204197.45</v>
      </c>
      <c r="C108" s="27">
        <f>VLOOKUP(A108,[2]ticket_pivot!$A$6:$V$127,3,FALSE)</f>
        <v>3243793.21</v>
      </c>
      <c r="D108" s="28">
        <f t="shared" si="8"/>
        <v>1.01235746567366</v>
      </c>
      <c r="E108" s="27">
        <f>VLOOKUP(A108,[2]ticket_pivot!$A$6:$V$127,4,FALSE)</f>
        <v>3070081.24</v>
      </c>
      <c r="F108" s="28">
        <f t="shared" si="9"/>
        <v>0.94644789024637</v>
      </c>
      <c r="G108" s="27">
        <f>VLOOKUP(A108,[2]Sheet12!$A$5:$G$125,2,FALSE)</f>
        <v>37556393.87</v>
      </c>
      <c r="H108" s="27"/>
      <c r="I108" s="28">
        <f t="shared" si="6"/>
        <v>0</v>
      </c>
      <c r="J108" s="27"/>
      <c r="K108" s="28">
        <f t="shared" si="7"/>
        <v>0</v>
      </c>
    </row>
    <row r="109" spans="1:11">
      <c r="A109" s="29" t="s">
        <v>120</v>
      </c>
      <c r="B109" s="30">
        <f>SUM(B105:B108)</f>
        <v>17814543.95</v>
      </c>
      <c r="C109" s="30">
        <f>SUM(C105:C108)</f>
        <v>15887179.15</v>
      </c>
      <c r="D109" s="31">
        <f t="shared" si="8"/>
        <v>0.891809478513201</v>
      </c>
      <c r="E109" s="30">
        <f>SUM(E105:E108)</f>
        <v>15519947.58</v>
      </c>
      <c r="F109" s="31">
        <f t="shared" si="9"/>
        <v>0.976885036258938</v>
      </c>
      <c r="G109" s="30">
        <f>SUM(G105:G108)</f>
        <v>299607116.08</v>
      </c>
      <c r="H109" s="30">
        <f>SUM(H105:H108)</f>
        <v>1385551.84</v>
      </c>
      <c r="I109" s="31">
        <f t="shared" si="6"/>
        <v>0.00462456252083824</v>
      </c>
      <c r="J109" s="30">
        <f>SUM(J105:J108)</f>
        <v>5137047.77</v>
      </c>
      <c r="K109" s="31">
        <f t="shared" si="7"/>
        <v>0.0171459471230594</v>
      </c>
    </row>
    <row r="110" spans="1:11">
      <c r="A110" s="24" t="s">
        <v>121</v>
      </c>
      <c r="B110" s="25">
        <f>VLOOKUP(A110,[2]ticket_pivot!$A$6:$V$127,2,FALSE)</f>
        <v>8399126.38</v>
      </c>
      <c r="C110" s="25">
        <f>VLOOKUP(A110,[2]ticket_pivot!$A$6:$V$127,3,FALSE)</f>
        <v>9027533.66</v>
      </c>
      <c r="D110" s="26">
        <f t="shared" si="8"/>
        <v>1.07481817174419</v>
      </c>
      <c r="E110" s="25">
        <f>VLOOKUP(A110,[2]ticket_pivot!$A$6:$V$127,4,FALSE)</f>
        <v>7981410.11</v>
      </c>
      <c r="F110" s="26">
        <f t="shared" si="9"/>
        <v>0.884118565557361</v>
      </c>
      <c r="G110" s="25">
        <f>VLOOKUP(A110,[2]Sheet12!$A$5:$G$125,2,FALSE)</f>
        <v>68133440.49</v>
      </c>
      <c r="H110" s="25"/>
      <c r="I110" s="26">
        <f t="shared" si="6"/>
        <v>0</v>
      </c>
      <c r="J110" s="25">
        <f>VLOOKUP(A110,[2]PAR!$A$5:$H$120,2,FALSE)</f>
        <v>826917.25</v>
      </c>
      <c r="K110" s="26">
        <f t="shared" si="7"/>
        <v>0.0121367311565804</v>
      </c>
    </row>
    <row r="111" spans="1:11">
      <c r="A111" s="24" t="s">
        <v>122</v>
      </c>
      <c r="B111" s="25">
        <f>VLOOKUP(A111,[2]ticket_pivot!$A$6:$V$127,2,FALSE)</f>
        <v>7620853.59</v>
      </c>
      <c r="C111" s="25">
        <f>VLOOKUP(A111,[2]ticket_pivot!$A$6:$V$127,3,FALSE)</f>
        <v>7826171.81</v>
      </c>
      <c r="D111" s="26">
        <f t="shared" si="8"/>
        <v>1.02694163030102</v>
      </c>
      <c r="E111" s="25">
        <f>VLOOKUP(A111,[2]ticket_pivot!$A$6:$V$127,4,FALSE)</f>
        <v>7250523.86</v>
      </c>
      <c r="F111" s="26">
        <f t="shared" si="9"/>
        <v>0.926445781670106</v>
      </c>
      <c r="G111" s="25">
        <f>VLOOKUP(A111,[2]Sheet12!$A$5:$G$125,2,FALSE)</f>
        <v>89106455.83</v>
      </c>
      <c r="H111" s="25"/>
      <c r="I111" s="26">
        <f t="shared" si="6"/>
        <v>0</v>
      </c>
      <c r="J111" s="25">
        <f>VLOOKUP(A111,[2]PAR!$A$5:$H$120,2,FALSE)</f>
        <v>1108861.37</v>
      </c>
      <c r="K111" s="26">
        <f t="shared" si="7"/>
        <v>0.012444231561802</v>
      </c>
    </row>
    <row r="112" spans="1:11">
      <c r="A112" s="29" t="s">
        <v>123</v>
      </c>
      <c r="B112" s="30">
        <f>SUM(B110:B111)</f>
        <v>16019979.97</v>
      </c>
      <c r="C112" s="30">
        <f>SUM(C110:C111)</f>
        <v>16853705.47</v>
      </c>
      <c r="D112" s="31">
        <f t="shared" si="8"/>
        <v>1.05204285533198</v>
      </c>
      <c r="E112" s="30">
        <f>SUM(E110:E111)</f>
        <v>15231933.97</v>
      </c>
      <c r="F112" s="31">
        <f t="shared" si="9"/>
        <v>0.903773594306202</v>
      </c>
      <c r="G112" s="30">
        <f>SUM(G110:G111)</f>
        <v>157239896.32</v>
      </c>
      <c r="H112" s="30">
        <f>SUM(H110:H111)</f>
        <v>0</v>
      </c>
      <c r="I112" s="31">
        <f t="shared" si="6"/>
        <v>0</v>
      </c>
      <c r="J112" s="30">
        <f>SUM(J110:J111)</f>
        <v>1935778.62</v>
      </c>
      <c r="K112" s="31">
        <f t="shared" si="7"/>
        <v>0.0123109889112397</v>
      </c>
    </row>
    <row r="113" spans="1:11">
      <c r="A113" s="32" t="s">
        <v>124</v>
      </c>
      <c r="B113" s="33">
        <f>SUM(B112,B109,B104)</f>
        <v>67358155.86</v>
      </c>
      <c r="C113" s="33">
        <f>SUM(C112,C109,C104)</f>
        <v>63097664.27</v>
      </c>
      <c r="D113" s="34">
        <f t="shared" si="8"/>
        <v>0.936748690108809</v>
      </c>
      <c r="E113" s="33">
        <f>SUM(E112,E109,E104)</f>
        <v>60986107.66</v>
      </c>
      <c r="F113" s="34">
        <f t="shared" si="9"/>
        <v>0.966535106577567</v>
      </c>
      <c r="G113" s="33">
        <f>SUM(G112,G109,G104)</f>
        <v>1000743123.8</v>
      </c>
      <c r="H113" s="33">
        <f>SUM(H112,H109,H104)</f>
        <v>1385551.84</v>
      </c>
      <c r="I113" s="34">
        <f t="shared" si="6"/>
        <v>0.00138452296803081</v>
      </c>
      <c r="J113" s="33">
        <f>SUM(J112,J109,J104)</f>
        <v>21306066.92</v>
      </c>
      <c r="K113" s="34">
        <f t="shared" si="7"/>
        <v>0.0212902456317632</v>
      </c>
    </row>
    <row r="114" spans="1:11">
      <c r="A114" s="35" t="s">
        <v>125</v>
      </c>
      <c r="B114" s="36">
        <f>SUM(B113,B99,B90)</f>
        <v>272586838</v>
      </c>
      <c r="C114" s="36">
        <f>SUM(C113,C99,C90)</f>
        <v>220958301.53</v>
      </c>
      <c r="D114" s="37">
        <f t="shared" si="8"/>
        <v>0.810597837926423</v>
      </c>
      <c r="E114" s="36">
        <f>SUM(E113,E99,E90)</f>
        <v>217858639.5</v>
      </c>
      <c r="F114" s="37">
        <f t="shared" si="9"/>
        <v>0.98597173308929</v>
      </c>
      <c r="G114" s="36">
        <f>SUM(G113,G99,G90)</f>
        <v>2914641619.56</v>
      </c>
      <c r="H114" s="36">
        <f>SUM(H113,H99,H90)</f>
        <v>7808605.13</v>
      </c>
      <c r="I114" s="37">
        <f t="shared" si="6"/>
        <v>0.00267909614602251</v>
      </c>
      <c r="J114" s="36">
        <f>SUM(J113,J99,J90)</f>
        <v>51326171.74</v>
      </c>
      <c r="K114" s="37">
        <f t="shared" si="7"/>
        <v>0.0176097710934864</v>
      </c>
    </row>
    <row r="115" spans="1:11">
      <c r="A115" s="24" t="s">
        <v>126</v>
      </c>
      <c r="B115" s="27">
        <f>VLOOKUP(A115,[2]ticket_pivot!$A$6:$V$127,2,FALSE)</f>
        <v>5366765.21</v>
      </c>
      <c r="C115" s="27">
        <f>VLOOKUP(A115,[2]ticket_pivot!$A$6:$V$127,3,FALSE)</f>
        <v>5194819.89</v>
      </c>
      <c r="D115" s="28">
        <f t="shared" si="8"/>
        <v>0.967961087680972</v>
      </c>
      <c r="E115" s="27">
        <f>VLOOKUP(A115,[2]ticket_pivot!$A$6:$V$127,4,FALSE)</f>
        <v>5050268.49</v>
      </c>
      <c r="F115" s="28">
        <f t="shared" si="9"/>
        <v>0.97217393421507</v>
      </c>
      <c r="G115" s="27">
        <f>VLOOKUP(A115,[2]Sheet12!$A$5:$G$125,2,FALSE)</f>
        <v>97744012.21</v>
      </c>
      <c r="H115" s="27"/>
      <c r="I115" s="28">
        <f t="shared" si="6"/>
        <v>0</v>
      </c>
      <c r="J115" s="27"/>
      <c r="K115" s="28">
        <f t="shared" si="7"/>
        <v>0</v>
      </c>
    </row>
    <row r="116" spans="1:11">
      <c r="A116" s="24" t="s">
        <v>127</v>
      </c>
      <c r="B116" s="27">
        <f>VLOOKUP(A116,[2]ticket_pivot!$A$6:$V$127,2,FALSE)</f>
        <v>6904139.16</v>
      </c>
      <c r="C116" s="27">
        <f>VLOOKUP(A116,[2]ticket_pivot!$A$6:$V$127,3,FALSE)</f>
        <v>6600619.08</v>
      </c>
      <c r="D116" s="28">
        <f t="shared" si="8"/>
        <v>0.956037954484104</v>
      </c>
      <c r="E116" s="27">
        <f>VLOOKUP(A116,[2]ticket_pivot!$A$6:$V$127,4,FALSE)</f>
        <v>6588262.04</v>
      </c>
      <c r="F116" s="28">
        <f t="shared" si="9"/>
        <v>0.9981278968154</v>
      </c>
      <c r="G116" s="27">
        <f>VLOOKUP(A116,[2]Sheet12!$A$5:$G$125,2,FALSE)</f>
        <v>144409970.71</v>
      </c>
      <c r="H116" s="27"/>
      <c r="I116" s="28">
        <f t="shared" si="6"/>
        <v>0</v>
      </c>
      <c r="J116" s="27"/>
      <c r="K116" s="28">
        <f t="shared" si="7"/>
        <v>0</v>
      </c>
    </row>
    <row r="117" spans="1:11">
      <c r="A117" s="24" t="s">
        <v>128</v>
      </c>
      <c r="B117" s="25">
        <f>VLOOKUP(A117,[2]ticket_pivot!$A$6:$V$127,2,FALSE)</f>
        <v>7150445.51</v>
      </c>
      <c r="C117" s="25">
        <f>VLOOKUP(A117,[2]ticket_pivot!$A$6:$V$127,3,FALSE)</f>
        <v>6285083</v>
      </c>
      <c r="D117" s="26">
        <f t="shared" si="8"/>
        <v>0.87897781910375</v>
      </c>
      <c r="E117" s="25">
        <f>VLOOKUP(A117,[2]ticket_pivot!$A$6:$V$127,4,FALSE)</f>
        <v>6188591.92</v>
      </c>
      <c r="F117" s="26">
        <f t="shared" si="9"/>
        <v>0.984647604494642</v>
      </c>
      <c r="G117" s="25">
        <f>VLOOKUP(A117,[2]Sheet12!$A$5:$G$125,2,FALSE)</f>
        <v>111036485.63</v>
      </c>
      <c r="H117" s="25">
        <f>VLOOKUP(A117,[2]NPL!$A$5:$H$119,2,FALSE)</f>
        <v>1277234.15</v>
      </c>
      <c r="I117" s="26">
        <f t="shared" si="6"/>
        <v>0.0115028329900142</v>
      </c>
      <c r="J117" s="25">
        <f>VLOOKUP(A117,[2]PAR!$A$5:$H$120,2,FALSE)</f>
        <v>2173690.96</v>
      </c>
      <c r="K117" s="26">
        <f t="shared" si="7"/>
        <v>0.0195763667020519</v>
      </c>
    </row>
    <row r="118" spans="1:11">
      <c r="A118" s="24" t="s">
        <v>129</v>
      </c>
      <c r="B118" s="27">
        <f>VLOOKUP(A118,[2]ticket_pivot!$A$6:$V$127,2,FALSE)</f>
        <v>10740988.54</v>
      </c>
      <c r="C118" s="27">
        <f>VLOOKUP(A118,[2]ticket_pivot!$A$6:$V$127,3,FALSE)</f>
        <v>9997755.61</v>
      </c>
      <c r="D118" s="28">
        <f t="shared" si="8"/>
        <v>0.930804047762256</v>
      </c>
      <c r="E118" s="27">
        <f>VLOOKUP(A118,[2]ticket_pivot!$A$6:$V$127,4,FALSE)</f>
        <v>9919827.23</v>
      </c>
      <c r="F118" s="28">
        <f t="shared" si="9"/>
        <v>0.992205412590596</v>
      </c>
      <c r="G118" s="27">
        <f>VLOOKUP(A118,[2]Sheet12!$A$5:$G$125,2,FALSE)</f>
        <v>162278487.57</v>
      </c>
      <c r="H118" s="27"/>
      <c r="I118" s="28">
        <f t="shared" si="6"/>
        <v>0</v>
      </c>
      <c r="J118" s="27"/>
      <c r="K118" s="28">
        <f t="shared" si="7"/>
        <v>0</v>
      </c>
    </row>
    <row r="119" spans="1:11">
      <c r="A119" s="29" t="s">
        <v>130</v>
      </c>
      <c r="B119" s="30">
        <f>SUM(B115:B118)</f>
        <v>30162338.42</v>
      </c>
      <c r="C119" s="30">
        <f>SUM(C115:C118)</f>
        <v>28078277.58</v>
      </c>
      <c r="D119" s="31">
        <f t="shared" si="8"/>
        <v>0.930905196706562</v>
      </c>
      <c r="E119" s="30">
        <f>SUM(E115:E118)</f>
        <v>27746949.68</v>
      </c>
      <c r="F119" s="31">
        <f t="shared" si="9"/>
        <v>0.98819984954362</v>
      </c>
      <c r="G119" s="30">
        <f>SUM(G115:G118)</f>
        <v>515468956.12</v>
      </c>
      <c r="H119" s="30">
        <f>SUM(H115:H118)</f>
        <v>1277234.15</v>
      </c>
      <c r="I119" s="31">
        <f t="shared" si="6"/>
        <v>0.00247781003072213</v>
      </c>
      <c r="J119" s="30">
        <f>SUM(J115:J118)</f>
        <v>2173690.96</v>
      </c>
      <c r="K119" s="31">
        <f t="shared" si="7"/>
        <v>0.0042169192425508</v>
      </c>
    </row>
    <row r="120" spans="1:11">
      <c r="A120" s="24" t="s">
        <v>131</v>
      </c>
      <c r="B120" s="27">
        <f>VLOOKUP(A120,[2]ticket_pivot!$A$6:$V$127,2,FALSE)</f>
        <v>18554925.84</v>
      </c>
      <c r="C120" s="27">
        <f>VLOOKUP(A120,[2]ticket_pivot!$A$6:$V$127,3,FALSE)</f>
        <v>14856540.01</v>
      </c>
      <c r="D120" s="28">
        <f t="shared" si="8"/>
        <v>0.800679029283579</v>
      </c>
      <c r="E120" s="27">
        <f>VLOOKUP(A120,[2]ticket_pivot!$A$6:$V$127,4,FALSE)</f>
        <v>14699025.97</v>
      </c>
      <c r="F120" s="28">
        <f t="shared" si="9"/>
        <v>0.989397663258472</v>
      </c>
      <c r="G120" s="27">
        <f>VLOOKUP(A120,[2]Sheet12!$A$5:$G$125,2,FALSE)</f>
        <v>213760500.17</v>
      </c>
      <c r="H120" s="27">
        <f>VLOOKUP(A120,[2]NPL!$A$5:$H$119,2,FALSE)</f>
        <v>2356767.96</v>
      </c>
      <c r="I120" s="28">
        <f t="shared" si="6"/>
        <v>0.0110252734163969</v>
      </c>
      <c r="J120" s="27">
        <f>VLOOKUP(A120,[2]PAR!$A$5:$H$120,2,FALSE)</f>
        <v>2356767.96</v>
      </c>
      <c r="K120" s="28">
        <f t="shared" si="7"/>
        <v>0.0110252734163969</v>
      </c>
    </row>
    <row r="121" spans="1:11">
      <c r="A121" s="24" t="s">
        <v>132</v>
      </c>
      <c r="B121" s="25">
        <f>VLOOKUP(A121,[2]ticket_pivot!$A$6:$V$127,2,FALSE)</f>
        <v>10219279.72</v>
      </c>
      <c r="C121" s="25">
        <f>VLOOKUP(A121,[2]ticket_pivot!$A$6:$V$127,3,FALSE)</f>
        <v>9302930.47</v>
      </c>
      <c r="D121" s="26">
        <f t="shared" si="8"/>
        <v>0.910331327147585</v>
      </c>
      <c r="E121" s="25">
        <f>VLOOKUP(A121,[2]ticket_pivot!$A$6:$V$127,4,FALSE)</f>
        <v>9289969.53</v>
      </c>
      <c r="F121" s="26">
        <f t="shared" si="9"/>
        <v>0.998606789544241</v>
      </c>
      <c r="G121" s="25">
        <f>VLOOKUP(A121,[2]Sheet12!$A$5:$G$125,2,FALSE)</f>
        <v>155657481.28</v>
      </c>
      <c r="H121" s="25"/>
      <c r="I121" s="26">
        <f t="shared" si="6"/>
        <v>0</v>
      </c>
      <c r="J121" s="25">
        <f>VLOOKUP(A121,[2]PAR!$A$5:$H$120,2,FALSE)</f>
        <v>5290379.67</v>
      </c>
      <c r="K121" s="26">
        <f t="shared" si="7"/>
        <v>0.0339873138540868</v>
      </c>
    </row>
    <row r="122" spans="1:11">
      <c r="A122" s="24" t="s">
        <v>133</v>
      </c>
      <c r="B122" s="27">
        <f>VLOOKUP(A122,[2]ticket_pivot!$A$6:$V$127,2,FALSE)</f>
        <v>7296856.11</v>
      </c>
      <c r="C122" s="27">
        <f>VLOOKUP(A122,[2]ticket_pivot!$A$6:$V$127,3,FALSE)</f>
        <v>7308220.6</v>
      </c>
      <c r="D122" s="28">
        <f t="shared" si="8"/>
        <v>1.00155745019892</v>
      </c>
      <c r="E122" s="27">
        <f>VLOOKUP(A122,[2]ticket_pivot!$A$6:$V$127,4,FALSE)</f>
        <v>7296856.11</v>
      </c>
      <c r="F122" s="28">
        <f t="shared" si="9"/>
        <v>0.998444971680248</v>
      </c>
      <c r="G122" s="27">
        <f>VLOOKUP(A122,[2]Sheet12!$A$5:$G$125,2,FALSE)</f>
        <v>110660788.83</v>
      </c>
      <c r="H122" s="27"/>
      <c r="I122" s="28">
        <f t="shared" si="6"/>
        <v>0</v>
      </c>
      <c r="J122" s="27"/>
      <c r="K122" s="28">
        <f t="shared" si="7"/>
        <v>0</v>
      </c>
    </row>
    <row r="123" spans="1:11">
      <c r="A123" s="29" t="s">
        <v>134</v>
      </c>
      <c r="B123" s="30">
        <f>SUM(B120:B122)</f>
        <v>36071061.67</v>
      </c>
      <c r="C123" s="30">
        <f>SUM(C120:C122)</f>
        <v>31467691.08</v>
      </c>
      <c r="D123" s="31">
        <f t="shared" si="8"/>
        <v>0.872380507340914</v>
      </c>
      <c r="E123" s="30">
        <f>SUM(E120:E122)</f>
        <v>31285851.61</v>
      </c>
      <c r="F123" s="31">
        <f t="shared" si="9"/>
        <v>0.994221391409439</v>
      </c>
      <c r="G123" s="30">
        <f>SUM(G120:G122)</f>
        <v>480078770.28</v>
      </c>
      <c r="H123" s="30">
        <f>SUM(H120:H122)</f>
        <v>2356767.96</v>
      </c>
      <c r="I123" s="31">
        <f t="shared" si="6"/>
        <v>0.00490912763883611</v>
      </c>
      <c r="J123" s="30">
        <f>SUM(J120:J122)</f>
        <v>7647147.63</v>
      </c>
      <c r="K123" s="31">
        <f t="shared" si="7"/>
        <v>0.0159289435472014</v>
      </c>
    </row>
    <row r="124" spans="1:11">
      <c r="A124" s="24" t="s">
        <v>135</v>
      </c>
      <c r="B124" s="27">
        <f>VLOOKUP(A124,[2]ticket_pivot!$A$6:$V$127,2,FALSE)</f>
        <v>12376854.52</v>
      </c>
      <c r="C124" s="27">
        <f>VLOOKUP(A124,[2]ticket_pivot!$A$6:$V$127,3,FALSE)</f>
        <v>11873368.16</v>
      </c>
      <c r="D124" s="28">
        <f t="shared" si="8"/>
        <v>0.959320329798948</v>
      </c>
      <c r="E124" s="27">
        <f>VLOOKUP(A124,[2]ticket_pivot!$A$6:$V$127,4,FALSE)</f>
        <v>11597864.39</v>
      </c>
      <c r="F124" s="28">
        <f t="shared" si="9"/>
        <v>0.976796493944478</v>
      </c>
      <c r="G124" s="27">
        <f>VLOOKUP(A124,[2]Sheet12!$A$5:$G$125,2,FALSE)</f>
        <v>175217947.14</v>
      </c>
      <c r="H124" s="27"/>
      <c r="I124" s="28">
        <f t="shared" si="6"/>
        <v>0</v>
      </c>
      <c r="J124" s="27">
        <f>VLOOKUP(A124,[2]PAR!$A$5:$H$120,2,FALSE)</f>
        <v>1723075.75</v>
      </c>
      <c r="K124" s="28">
        <f t="shared" si="7"/>
        <v>0.00983389988368745</v>
      </c>
    </row>
    <row r="125" spans="1:11">
      <c r="A125" s="24" t="s">
        <v>136</v>
      </c>
      <c r="B125" s="25">
        <f>VLOOKUP(A125,[2]ticket_pivot!$A$6:$V$127,2,FALSE)</f>
        <v>11343313.35</v>
      </c>
      <c r="C125" s="25">
        <f>VLOOKUP(A125,[2]ticket_pivot!$A$6:$V$127,3,FALSE)</f>
        <v>10293327.57</v>
      </c>
      <c r="D125" s="26">
        <f t="shared" si="8"/>
        <v>0.907435707045861</v>
      </c>
      <c r="E125" s="25">
        <f>VLOOKUP(A125,[2]ticket_pivot!$A$6:$V$127,4,FALSE)</f>
        <v>10157367.53</v>
      </c>
      <c r="F125" s="26">
        <f t="shared" si="9"/>
        <v>0.986791439495596</v>
      </c>
      <c r="G125" s="25">
        <f>VLOOKUP(A125,[2]Sheet12!$A$5:$G$125,2,FALSE)</f>
        <v>139014742.78</v>
      </c>
      <c r="H125" s="25"/>
      <c r="I125" s="26">
        <f t="shared" si="6"/>
        <v>0</v>
      </c>
      <c r="J125" s="25">
        <f>VLOOKUP(A125,[2]PAR!$A$5:$H$120,2,FALSE)</f>
        <v>4545172.02</v>
      </c>
      <c r="K125" s="26">
        <f t="shared" si="7"/>
        <v>0.032695611480525</v>
      </c>
    </row>
    <row r="126" spans="1:11">
      <c r="A126" s="24" t="s">
        <v>137</v>
      </c>
      <c r="B126" s="27">
        <f>VLOOKUP(A126,[2]ticket_pivot!$A$6:$V$127,2,FALSE)</f>
        <v>9109083.11</v>
      </c>
      <c r="C126" s="27">
        <f>VLOOKUP(A126,[2]ticket_pivot!$A$6:$V$127,3,FALSE)</f>
        <v>8705123.96</v>
      </c>
      <c r="D126" s="28">
        <f t="shared" si="8"/>
        <v>0.955653149156524</v>
      </c>
      <c r="E126" s="27">
        <f>VLOOKUP(A126,[2]ticket_pivot!$A$6:$V$127,4,FALSE)</f>
        <v>8566503.24</v>
      </c>
      <c r="F126" s="28">
        <f t="shared" si="9"/>
        <v>0.984075962543789</v>
      </c>
      <c r="G126" s="27">
        <f>VLOOKUP(A126,[2]Sheet12!$A$5:$G$125,2,FALSE)</f>
        <v>159957822.84</v>
      </c>
      <c r="H126" s="27"/>
      <c r="I126" s="28">
        <f t="shared" si="6"/>
        <v>0</v>
      </c>
      <c r="J126" s="27">
        <f>VLOOKUP(A126,[2]PAR!$A$5:$H$120,2,FALSE)</f>
        <v>3597635.06</v>
      </c>
      <c r="K126" s="28">
        <f t="shared" si="7"/>
        <v>0.0224911479546617</v>
      </c>
    </row>
    <row r="127" spans="1:11">
      <c r="A127" s="29" t="s">
        <v>138</v>
      </c>
      <c r="B127" s="30">
        <f>SUM(B124:B126)</f>
        <v>32829250.98</v>
      </c>
      <c r="C127" s="30">
        <f>SUM(C124:C126)</f>
        <v>30871819.69</v>
      </c>
      <c r="D127" s="31">
        <f t="shared" si="8"/>
        <v>0.940375389886523</v>
      </c>
      <c r="E127" s="30">
        <f>SUM(E124:E126)</f>
        <v>30321735.16</v>
      </c>
      <c r="F127" s="31">
        <f t="shared" si="9"/>
        <v>0.982181661608428</v>
      </c>
      <c r="G127" s="30">
        <f>SUM(G124:G126)</f>
        <v>474190512.76</v>
      </c>
      <c r="H127" s="30">
        <f>SUM(H124:H126)</f>
        <v>0</v>
      </c>
      <c r="I127" s="31">
        <f t="shared" si="6"/>
        <v>0</v>
      </c>
      <c r="J127" s="30">
        <f>SUM(J124:J126)</f>
        <v>9865882.83</v>
      </c>
      <c r="K127" s="31">
        <f t="shared" si="7"/>
        <v>0.0208057364382433</v>
      </c>
    </row>
    <row r="128" spans="1:11">
      <c r="A128" s="24" t="s">
        <v>139</v>
      </c>
      <c r="B128" s="27">
        <f>VLOOKUP(A128,[2]ticket_pivot!$A$6:$V$127,2,FALSE)</f>
        <v>4029100.14</v>
      </c>
      <c r="C128" s="27">
        <f>VLOOKUP(A128,[2]ticket_pivot!$A$6:$V$127,3,FALSE)</f>
        <v>3402456.25</v>
      </c>
      <c r="D128" s="28">
        <f t="shared" si="8"/>
        <v>0.844470509983403</v>
      </c>
      <c r="E128" s="27">
        <f>VLOOKUP(A128,[2]ticket_pivot!$A$6:$V$127,4,FALSE)</f>
        <v>3399008.65</v>
      </c>
      <c r="F128" s="28">
        <f t="shared" si="9"/>
        <v>0.998986732011617</v>
      </c>
      <c r="G128" s="27">
        <f>VLOOKUP(A128,[2]Sheet12!$A$5:$G$125,2,FALSE)</f>
        <v>50640425.28</v>
      </c>
      <c r="H128" s="27"/>
      <c r="I128" s="28">
        <f t="shared" si="6"/>
        <v>0</v>
      </c>
      <c r="J128" s="27">
        <f>VLOOKUP(A128,[2]PAR!$A$5:$H$120,2,FALSE)</f>
        <v>4167931.62</v>
      </c>
      <c r="K128" s="28">
        <f t="shared" si="7"/>
        <v>0.0823044355760197</v>
      </c>
    </row>
    <row r="129" spans="1:11">
      <c r="A129" s="24" t="s">
        <v>140</v>
      </c>
      <c r="B129" s="25">
        <f>VLOOKUP(A129,[2]ticket_pivot!$A$6:$V$127,2,FALSE)</f>
        <v>7785106.56</v>
      </c>
      <c r="C129" s="25">
        <f>VLOOKUP(A129,[2]ticket_pivot!$A$6:$V$127,3,FALSE)</f>
        <v>7346624.76</v>
      </c>
      <c r="D129" s="26">
        <f t="shared" si="8"/>
        <v>0.943676840307758</v>
      </c>
      <c r="E129" s="25">
        <f>VLOOKUP(A129,[2]ticket_pivot!$A$6:$V$127,4,FALSE)</f>
        <v>7313718.87</v>
      </c>
      <c r="F129" s="26">
        <f t="shared" si="9"/>
        <v>0.99552095131098</v>
      </c>
      <c r="G129" s="25">
        <f>VLOOKUP(A129,[2]Sheet12!$A$5:$G$125,2,FALSE)</f>
        <v>110320392.75</v>
      </c>
      <c r="H129" s="25"/>
      <c r="I129" s="26">
        <f t="shared" si="6"/>
        <v>0</v>
      </c>
      <c r="J129" s="25">
        <f>VLOOKUP(A129,[2]PAR!$A$5:$H$120,2,FALSE)</f>
        <v>999277.64</v>
      </c>
      <c r="K129" s="26">
        <f t="shared" si="7"/>
        <v>0.00905795941340138</v>
      </c>
    </row>
    <row r="130" spans="1:11">
      <c r="A130" s="24" t="s">
        <v>141</v>
      </c>
      <c r="B130" s="25">
        <f>VLOOKUP(A130,[2]ticket_pivot!$A$6:$V$127,2,FALSE)</f>
        <v>5829358.03</v>
      </c>
      <c r="C130" s="25">
        <f>VLOOKUP(A130,[2]ticket_pivot!$A$6:$V$127,3,FALSE)</f>
        <v>5375278.76</v>
      </c>
      <c r="D130" s="26">
        <f t="shared" si="8"/>
        <v>0.922104755332724</v>
      </c>
      <c r="E130" s="25">
        <f>VLOOKUP(A130,[2]ticket_pivot!$A$6:$V$127,4,FALSE)</f>
        <v>5320760.72</v>
      </c>
      <c r="F130" s="26">
        <f t="shared" si="9"/>
        <v>0.989857634843853</v>
      </c>
      <c r="G130" s="25">
        <f>VLOOKUP(A130,[2]Sheet12!$A$5:$G$125,2,FALSE)</f>
        <v>79912798.42</v>
      </c>
      <c r="H130" s="25"/>
      <c r="I130" s="26">
        <f t="shared" si="6"/>
        <v>0</v>
      </c>
      <c r="J130" s="25">
        <f>VLOOKUP(A130,[2]PAR!$A$5:$H$120,2,FALSE)</f>
        <v>2041804.66</v>
      </c>
      <c r="K130" s="26">
        <f t="shared" si="7"/>
        <v>0.0255504087001037</v>
      </c>
    </row>
    <row r="131" spans="1:11">
      <c r="A131" s="29" t="s">
        <v>142</v>
      </c>
      <c r="B131" s="30">
        <f>SUM(B128:B130)</f>
        <v>17643564.73</v>
      </c>
      <c r="C131" s="30">
        <f>SUM(C128:C130)</f>
        <v>16124359.77</v>
      </c>
      <c r="D131" s="31">
        <f t="shared" si="8"/>
        <v>0.91389467019571</v>
      </c>
      <c r="E131" s="30">
        <f>SUM(E128:E130)</f>
        <v>16033488.24</v>
      </c>
      <c r="F131" s="31">
        <f t="shared" si="9"/>
        <v>0.994364332519479</v>
      </c>
      <c r="G131" s="30">
        <f>SUM(G128:G130)</f>
        <v>240873616.45</v>
      </c>
      <c r="H131" s="30">
        <f>SUM(H128:H130)</f>
        <v>0</v>
      </c>
      <c r="I131" s="31">
        <f t="shared" ref="I131:I186" si="10">IFERROR(H131/G131,"")</f>
        <v>0</v>
      </c>
      <c r="J131" s="30">
        <f>SUM(J128:J130)</f>
        <v>7209013.92</v>
      </c>
      <c r="K131" s="31">
        <f t="shared" ref="K131:K186" si="11">IFERROR(J131/G131,"")</f>
        <v>0.0299286157871775</v>
      </c>
    </row>
    <row r="132" spans="1:11">
      <c r="A132" s="32" t="s">
        <v>143</v>
      </c>
      <c r="B132" s="33">
        <f>SUM(B131,B127,B123,B119)</f>
        <v>116706215.8</v>
      </c>
      <c r="C132" s="33">
        <f>SUM(C131,C127,C123,C119)</f>
        <v>106542148.12</v>
      </c>
      <c r="D132" s="34">
        <f t="shared" si="8"/>
        <v>0.912908943107039</v>
      </c>
      <c r="E132" s="33">
        <f>SUM(E131,E127,E123,E119)</f>
        <v>105388024.69</v>
      </c>
      <c r="F132" s="34">
        <f t="shared" si="9"/>
        <v>0.989167447340182</v>
      </c>
      <c r="G132" s="33">
        <f>SUM(G131,G127,G123,G119)</f>
        <v>1710611855.61</v>
      </c>
      <c r="H132" s="33">
        <f>SUM(H131,H127,H123,H119)</f>
        <v>3634002.11</v>
      </c>
      <c r="I132" s="34">
        <f t="shared" si="10"/>
        <v>0.00212438730509331</v>
      </c>
      <c r="J132" s="33">
        <f>SUM(J131,J127,J123,J119)</f>
        <v>26895735.34</v>
      </c>
      <c r="K132" s="34">
        <f t="shared" si="11"/>
        <v>0.0157228743924548</v>
      </c>
    </row>
    <row r="133" spans="1:11">
      <c r="A133" s="24" t="s">
        <v>144</v>
      </c>
      <c r="B133" s="27">
        <f>VLOOKUP(A133,[2]ticket_pivot!$A$6:$V$127,2,FALSE)</f>
        <v>10759227.55</v>
      </c>
      <c r="C133" s="27">
        <f>VLOOKUP(A133,[2]ticket_pivot!$A$6:$V$127,3,FALSE)</f>
        <v>10233897.17</v>
      </c>
      <c r="D133" s="28">
        <f t="shared" si="8"/>
        <v>0.951173968804108</v>
      </c>
      <c r="E133" s="27">
        <f>VLOOKUP(A133,[2]ticket_pivot!$A$6:$V$127,4,FALSE)</f>
        <v>10226120.52</v>
      </c>
      <c r="F133" s="28">
        <f t="shared" si="9"/>
        <v>0.999240108643773</v>
      </c>
      <c r="G133" s="27">
        <f>VLOOKUP(A133,[2]Sheet12!$A$5:$G$125,2,FALSE)</f>
        <v>136168511.49</v>
      </c>
      <c r="H133" s="27"/>
      <c r="I133" s="28">
        <f t="shared" si="10"/>
        <v>0</v>
      </c>
      <c r="J133" s="27"/>
      <c r="K133" s="28">
        <f t="shared" si="11"/>
        <v>0</v>
      </c>
    </row>
    <row r="134" spans="1:11">
      <c r="A134" s="24" t="s">
        <v>145</v>
      </c>
      <c r="B134" s="27">
        <f>VLOOKUP(A134,[2]ticket_pivot!$A$6:$V$127,2,FALSE)</f>
        <v>10299570.49</v>
      </c>
      <c r="C134" s="27">
        <f>VLOOKUP(A134,[2]ticket_pivot!$A$6:$V$127,3,FALSE)</f>
        <v>10059591.56</v>
      </c>
      <c r="D134" s="28">
        <f t="shared" si="8"/>
        <v>0.976700103151583</v>
      </c>
      <c r="E134" s="27">
        <f>VLOOKUP(A134,[2]ticket_pivot!$A$6:$V$127,4,FALSE)</f>
        <v>10050946.89</v>
      </c>
      <c r="F134" s="28">
        <f t="shared" si="9"/>
        <v>0.999140653977009</v>
      </c>
      <c r="G134" s="27">
        <f>VLOOKUP(A134,[2]Sheet12!$A$5:$G$125,2,FALSE)</f>
        <v>147661740.81</v>
      </c>
      <c r="H134" s="27"/>
      <c r="I134" s="28">
        <f t="shared" si="10"/>
        <v>0</v>
      </c>
      <c r="J134" s="27"/>
      <c r="K134" s="28">
        <f t="shared" si="11"/>
        <v>0</v>
      </c>
    </row>
    <row r="135" spans="1:11">
      <c r="A135" s="24" t="s">
        <v>146</v>
      </c>
      <c r="B135" s="25">
        <f>VLOOKUP(A135,[2]ticket_pivot!$A$6:$V$127,2,FALSE)</f>
        <v>4976359.97</v>
      </c>
      <c r="C135" s="25">
        <f>VLOOKUP(A135,[2]ticket_pivot!$A$6:$V$127,3,FALSE)</f>
        <v>4557708.57</v>
      </c>
      <c r="D135" s="26">
        <f t="shared" si="8"/>
        <v>0.915871962132193</v>
      </c>
      <c r="E135" s="25">
        <f>VLOOKUP(A135,[2]ticket_pivot!$A$6:$V$127,4,FALSE)</f>
        <v>4552538.2</v>
      </c>
      <c r="F135" s="26">
        <f t="shared" si="9"/>
        <v>0.99886557687474</v>
      </c>
      <c r="G135" s="25">
        <f>VLOOKUP(A135,[2]Sheet12!$A$5:$G$125,2,FALSE)</f>
        <v>74698129.31</v>
      </c>
      <c r="H135" s="25"/>
      <c r="I135" s="26">
        <f t="shared" si="10"/>
        <v>0</v>
      </c>
      <c r="J135" s="25">
        <f>VLOOKUP(A135,[2]PAR!$A$5:$H$120,2,FALSE)</f>
        <v>647716.9</v>
      </c>
      <c r="K135" s="26">
        <f t="shared" si="11"/>
        <v>0.00867112611765618</v>
      </c>
    </row>
    <row r="136" spans="1:11">
      <c r="A136" s="24" t="s">
        <v>147</v>
      </c>
      <c r="B136" s="27">
        <f>VLOOKUP(A136,[2]ticket_pivot!$A$6:$V$127,2,FALSE)</f>
        <v>9766122.60000001</v>
      </c>
      <c r="C136" s="27">
        <f>VLOOKUP(A136,[2]ticket_pivot!$A$6:$V$127,3,FALSE)</f>
        <v>9230923.66</v>
      </c>
      <c r="D136" s="28">
        <f t="shared" si="8"/>
        <v>0.945198420916813</v>
      </c>
      <c r="E136" s="27">
        <f>VLOOKUP(A136,[2]ticket_pivot!$A$6:$V$127,4,FALSE)</f>
        <v>9124498.23</v>
      </c>
      <c r="F136" s="28">
        <f t="shared" si="9"/>
        <v>0.988470771298741</v>
      </c>
      <c r="G136" s="27">
        <f>VLOOKUP(A136,[2]Sheet12!$A$5:$G$125,2,FALSE)</f>
        <v>125431716.67</v>
      </c>
      <c r="H136" s="27">
        <f>VLOOKUP(A136,[2]NPL!$A$5:$H$119,2,FALSE)</f>
        <v>1264623.61</v>
      </c>
      <c r="I136" s="28">
        <f t="shared" si="10"/>
        <v>0.0100821677608632</v>
      </c>
      <c r="J136" s="27">
        <f>VLOOKUP(A136,[2]PAR!$A$5:$H$120,2,FALSE)</f>
        <v>1264623.61</v>
      </c>
      <c r="K136" s="28">
        <f t="shared" si="11"/>
        <v>0.0100821677608632</v>
      </c>
    </row>
    <row r="137" spans="1:11">
      <c r="A137" s="29" t="s">
        <v>148</v>
      </c>
      <c r="B137" s="30">
        <f>SUM(B133:B136)</f>
        <v>35801280.61</v>
      </c>
      <c r="C137" s="30">
        <f>SUM(C133:C136)</f>
        <v>34082120.96</v>
      </c>
      <c r="D137" s="31">
        <f t="shared" si="8"/>
        <v>0.951980498442846</v>
      </c>
      <c r="E137" s="30">
        <f>SUM(E133:E136)</f>
        <v>33954103.84</v>
      </c>
      <c r="F137" s="31">
        <f t="shared" si="9"/>
        <v>0.996243862870205</v>
      </c>
      <c r="G137" s="30">
        <f>SUM(G133:G136)</f>
        <v>483960098.28</v>
      </c>
      <c r="H137" s="30">
        <f>SUM(H133:H136)</f>
        <v>1264623.61</v>
      </c>
      <c r="I137" s="31">
        <f t="shared" si="10"/>
        <v>0.00261307412428109</v>
      </c>
      <c r="J137" s="30">
        <f>SUM(J133:J136)</f>
        <v>1912340.51</v>
      </c>
      <c r="K137" s="31">
        <f t="shared" si="11"/>
        <v>0.00395144251932438</v>
      </c>
    </row>
    <row r="138" spans="1:11">
      <c r="A138" s="24" t="s">
        <v>149</v>
      </c>
      <c r="B138" s="27">
        <f>VLOOKUP(A138,[2]ticket_pivot!$A$6:$V$127,2,FALSE)</f>
        <v>12517070.51</v>
      </c>
      <c r="C138" s="27">
        <f>VLOOKUP(A138,[2]ticket_pivot!$A$6:$V$127,3,FALSE)</f>
        <v>11759295.68</v>
      </c>
      <c r="D138" s="28">
        <f t="shared" si="8"/>
        <v>0.939460688553715</v>
      </c>
      <c r="E138" s="27">
        <f>VLOOKUP(A138,[2]ticket_pivot!$A$6:$V$127,4,FALSE)</f>
        <v>11599150.88</v>
      </c>
      <c r="F138" s="28">
        <f t="shared" si="9"/>
        <v>0.986381429266009</v>
      </c>
      <c r="G138" s="27">
        <f>VLOOKUP(A138,[2]Sheet12!$A$5:$G$125,2,FALSE)</f>
        <v>176483568.29</v>
      </c>
      <c r="H138" s="27"/>
      <c r="I138" s="28">
        <f t="shared" si="10"/>
        <v>0</v>
      </c>
      <c r="J138" s="27"/>
      <c r="K138" s="28">
        <f t="shared" si="11"/>
        <v>0</v>
      </c>
    </row>
    <row r="139" spans="1:11">
      <c r="A139" s="24" t="s">
        <v>150</v>
      </c>
      <c r="B139" s="25">
        <f>VLOOKUP(A139,[2]ticket_pivot!$A$6:$V$127,2,FALSE)</f>
        <v>6764340.88</v>
      </c>
      <c r="C139" s="25">
        <f>VLOOKUP(A139,[2]ticket_pivot!$A$6:$V$127,3,FALSE)</f>
        <v>6286688.66</v>
      </c>
      <c r="D139" s="26">
        <f t="shared" si="8"/>
        <v>0.929386731320377</v>
      </c>
      <c r="E139" s="25">
        <f>VLOOKUP(A139,[2]ticket_pivot!$A$6:$V$127,4,FALSE)</f>
        <v>6214636.02</v>
      </c>
      <c r="F139" s="26">
        <f t="shared" si="9"/>
        <v>0.988538856638719</v>
      </c>
      <c r="G139" s="25">
        <f>VLOOKUP(A139,[2]Sheet12!$A$5:$G$125,2,FALSE)</f>
        <v>89221474.21</v>
      </c>
      <c r="H139" s="25"/>
      <c r="I139" s="26">
        <f t="shared" si="10"/>
        <v>0</v>
      </c>
      <c r="J139" s="25"/>
      <c r="K139" s="26">
        <f t="shared" si="11"/>
        <v>0</v>
      </c>
    </row>
    <row r="140" spans="1:11">
      <c r="A140" s="24" t="s">
        <v>151</v>
      </c>
      <c r="B140" s="27">
        <f>VLOOKUP(A140,[2]ticket_pivot!$A$6:$V$127,2,FALSE)</f>
        <v>11921261.07</v>
      </c>
      <c r="C140" s="27">
        <f>VLOOKUP(A140,[2]ticket_pivot!$A$6:$V$127,3,FALSE)</f>
        <v>11641972.3</v>
      </c>
      <c r="D140" s="28">
        <f t="shared" si="8"/>
        <v>0.976572212590593</v>
      </c>
      <c r="E140" s="27">
        <f>VLOOKUP(A140,[2]ticket_pivot!$A$6:$V$127,4,FALSE)</f>
        <v>11572316.8</v>
      </c>
      <c r="F140" s="28">
        <f t="shared" si="9"/>
        <v>0.994016864307434</v>
      </c>
      <c r="G140" s="27">
        <f>VLOOKUP(A140,[2]Sheet12!$A$5:$G$125,2,FALSE)</f>
        <v>156057212.58</v>
      </c>
      <c r="H140" s="27"/>
      <c r="I140" s="28">
        <f t="shared" si="10"/>
        <v>0</v>
      </c>
      <c r="J140" s="27"/>
      <c r="K140" s="28">
        <f t="shared" si="11"/>
        <v>0</v>
      </c>
    </row>
    <row r="141" spans="1:11">
      <c r="A141" s="29" t="s">
        <v>152</v>
      </c>
      <c r="B141" s="30">
        <f>SUM(B138:B140)</f>
        <v>31202672.46</v>
      </c>
      <c r="C141" s="30">
        <f>SUM(C138:C140)</f>
        <v>29687956.64</v>
      </c>
      <c r="D141" s="31">
        <f t="shared" si="8"/>
        <v>0.95145557413578</v>
      </c>
      <c r="E141" s="30">
        <f>SUM(E138:E140)</f>
        <v>29386103.7</v>
      </c>
      <c r="F141" s="31">
        <f t="shared" si="9"/>
        <v>0.989832478413375</v>
      </c>
      <c r="G141" s="30">
        <f>SUM(G138:G140)</f>
        <v>421762255.08</v>
      </c>
      <c r="H141" s="30">
        <f>SUM(H138:H140)</f>
        <v>0</v>
      </c>
      <c r="I141" s="31">
        <f t="shared" si="10"/>
        <v>0</v>
      </c>
      <c r="J141" s="30">
        <f>SUM(J138:J140)</f>
        <v>0</v>
      </c>
      <c r="K141" s="31">
        <f t="shared" si="11"/>
        <v>0</v>
      </c>
    </row>
    <row r="142" spans="1:11">
      <c r="A142" s="24" t="s">
        <v>153</v>
      </c>
      <c r="B142" s="27">
        <f>VLOOKUP(A142,[2]ticket_pivot!$A$6:$V$127,2,FALSE)</f>
        <v>9516615.01</v>
      </c>
      <c r="C142" s="27">
        <f>VLOOKUP(A142,[2]ticket_pivot!$A$6:$V$127,3,FALSE)</f>
        <v>8761254.51</v>
      </c>
      <c r="D142" s="28">
        <f t="shared" si="8"/>
        <v>0.920627187376365</v>
      </c>
      <c r="E142" s="27">
        <f>VLOOKUP(A142,[2]ticket_pivot!$A$6:$V$127,4,FALSE)</f>
        <v>8371917.07</v>
      </c>
      <c r="F142" s="28">
        <f t="shared" si="9"/>
        <v>0.955561450753929</v>
      </c>
      <c r="G142" s="27">
        <f>VLOOKUP(A142,[2]Sheet12!$A$5:$G$125,2,FALSE)</f>
        <v>145936559.13</v>
      </c>
      <c r="H142" s="27"/>
      <c r="I142" s="28">
        <f t="shared" si="10"/>
        <v>0</v>
      </c>
      <c r="J142" s="27">
        <f>VLOOKUP(A142,[2]PAR!$A$5:$H$120,2,FALSE)</f>
        <v>2257986.78</v>
      </c>
      <c r="K142" s="28">
        <f t="shared" si="11"/>
        <v>0.0154723860385703</v>
      </c>
    </row>
    <row r="143" spans="1:11">
      <c r="A143" s="24" t="s">
        <v>154</v>
      </c>
      <c r="B143" s="25">
        <f>VLOOKUP(A143,[2]ticket_pivot!$A$6:$V$127,2,FALSE)</f>
        <v>6321743.51</v>
      </c>
      <c r="C143" s="25">
        <f>VLOOKUP(A143,[2]ticket_pivot!$A$6:$V$127,3,FALSE)</f>
        <v>5795695.33</v>
      </c>
      <c r="D143" s="26">
        <f t="shared" si="8"/>
        <v>0.916787484470403</v>
      </c>
      <c r="E143" s="25">
        <f>VLOOKUP(A143,[2]ticket_pivot!$A$6:$V$127,4,FALSE)</f>
        <v>5768137.04</v>
      </c>
      <c r="F143" s="26">
        <f t="shared" si="9"/>
        <v>0.99524504163334</v>
      </c>
      <c r="G143" s="25">
        <f>VLOOKUP(A143,[2]Sheet12!$A$5:$G$125,2,FALSE)</f>
        <v>97712031.51</v>
      </c>
      <c r="H143" s="25"/>
      <c r="I143" s="26">
        <f t="shared" si="10"/>
        <v>0</v>
      </c>
      <c r="J143" s="25"/>
      <c r="K143" s="26">
        <f t="shared" si="11"/>
        <v>0</v>
      </c>
    </row>
    <row r="144" spans="1:11">
      <c r="A144" s="24" t="s">
        <v>155</v>
      </c>
      <c r="B144" s="25">
        <f>VLOOKUP(A144,[2]ticket_pivot!$A$6:$V$127,2,FALSE)</f>
        <v>9175276.59</v>
      </c>
      <c r="C144" s="25">
        <f>VLOOKUP(A144,[2]ticket_pivot!$A$6:$V$127,3,FALSE)</f>
        <v>10754111.7</v>
      </c>
      <c r="D144" s="26">
        <f t="shared" si="8"/>
        <v>1.17207493360154</v>
      </c>
      <c r="E144" s="25">
        <f>VLOOKUP(A144,[2]ticket_pivot!$A$6:$V$127,4,FALSE)</f>
        <v>8376677.15</v>
      </c>
      <c r="F144" s="26">
        <f t="shared" si="9"/>
        <v>0.778927854171349</v>
      </c>
      <c r="G144" s="25">
        <f>VLOOKUP(A144,[2]Sheet12!$A$5:$G$125,2,FALSE)</f>
        <v>149097497.37</v>
      </c>
      <c r="H144" s="25">
        <f>VLOOKUP(A144,[2]NPL!$A$5:$H$119,2,FALSE)</f>
        <v>720916.59</v>
      </c>
      <c r="I144" s="26">
        <f t="shared" si="10"/>
        <v>0.00483520248640375</v>
      </c>
      <c r="J144" s="25">
        <f>VLOOKUP(A144,[2]PAR!$A$5:$H$120,2,FALSE)</f>
        <v>1612106.06</v>
      </c>
      <c r="K144" s="26">
        <f t="shared" si="11"/>
        <v>0.0108124287022699</v>
      </c>
    </row>
    <row r="145" spans="1:11">
      <c r="A145" s="29" t="s">
        <v>156</v>
      </c>
      <c r="B145" s="30">
        <f>SUM(B142:B144)</f>
        <v>25013635.11</v>
      </c>
      <c r="C145" s="30">
        <f>SUM(C142:C144)</f>
        <v>25311061.54</v>
      </c>
      <c r="D145" s="31">
        <f t="shared" si="8"/>
        <v>1.0118905720297</v>
      </c>
      <c r="E145" s="30">
        <f>SUM(E142:E144)</f>
        <v>22516731.26</v>
      </c>
      <c r="F145" s="31">
        <f t="shared" si="9"/>
        <v>0.889600431195507</v>
      </c>
      <c r="G145" s="30">
        <f>SUM(G142:G144)</f>
        <v>392746088.01</v>
      </c>
      <c r="H145" s="30">
        <f>SUM(H142:H144)</f>
        <v>720916.59</v>
      </c>
      <c r="I145" s="31">
        <f t="shared" si="10"/>
        <v>0.00183557930176416</v>
      </c>
      <c r="J145" s="30">
        <f>SUM(J142:J144)</f>
        <v>3870092.84</v>
      </c>
      <c r="K145" s="31">
        <f t="shared" si="11"/>
        <v>0.00985393097003034</v>
      </c>
    </row>
    <row r="146" spans="1:11">
      <c r="A146" s="32" t="s">
        <v>157</v>
      </c>
      <c r="B146" s="33">
        <f>SUM(B145,B141,B137)</f>
        <v>92017588.18</v>
      </c>
      <c r="C146" s="33">
        <f>SUM(C145,C141,C137)</f>
        <v>89081139.14</v>
      </c>
      <c r="D146" s="34">
        <f t="shared" si="8"/>
        <v>0.968088176422795</v>
      </c>
      <c r="E146" s="33">
        <f>SUM(E145,E141,E137)</f>
        <v>85856938.8</v>
      </c>
      <c r="F146" s="34">
        <f t="shared" si="9"/>
        <v>0.96380602705436</v>
      </c>
      <c r="G146" s="33">
        <f>SUM(G145,G141,G137)</f>
        <v>1298468441.37</v>
      </c>
      <c r="H146" s="33">
        <f>SUM(H145,H141,H137)</f>
        <v>1985540.2</v>
      </c>
      <c r="I146" s="34">
        <f t="shared" si="10"/>
        <v>0.00152914012904702</v>
      </c>
      <c r="J146" s="33">
        <f>SUM(J145,J141,J137)</f>
        <v>5782433.35</v>
      </c>
      <c r="K146" s="34">
        <f t="shared" si="11"/>
        <v>0.00445327215184299</v>
      </c>
    </row>
    <row r="147" spans="1:11">
      <c r="A147" s="24" t="s">
        <v>158</v>
      </c>
      <c r="B147" s="27">
        <f>VLOOKUP(A147,[2]ticket_pivot!$A$6:$V$127,2,FALSE)</f>
        <v>5651854.62</v>
      </c>
      <c r="C147" s="27">
        <f>VLOOKUP(A147,[2]ticket_pivot!$A$6:$V$127,3,FALSE)</f>
        <v>5490335.64</v>
      </c>
      <c r="D147" s="28">
        <f t="shared" si="8"/>
        <v>0.971421950694124</v>
      </c>
      <c r="E147" s="27">
        <f>VLOOKUP(A147,[2]ticket_pivot!$A$6:$V$127,4,FALSE)</f>
        <v>5425560.99</v>
      </c>
      <c r="F147" s="28">
        <f t="shared" si="9"/>
        <v>0.98820206008389</v>
      </c>
      <c r="G147" s="27">
        <f>VLOOKUP(A147,[2]Sheet12!$A$5:$G$125,2,FALSE)</f>
        <v>70397775.12</v>
      </c>
      <c r="H147" s="27"/>
      <c r="I147" s="28">
        <f t="shared" si="10"/>
        <v>0</v>
      </c>
      <c r="J147" s="27">
        <f>VLOOKUP(A147,[2]PAR!$A$5:$H$120,2,FALSE)</f>
        <v>1205946.76</v>
      </c>
      <c r="K147" s="28">
        <f t="shared" si="11"/>
        <v>0.0171304669493367</v>
      </c>
    </row>
    <row r="148" spans="1:11">
      <c r="A148" s="24" t="s">
        <v>159</v>
      </c>
      <c r="B148" s="27">
        <f>VLOOKUP(A148,[2]ticket_pivot!$A$6:$V$127,2,FALSE)</f>
        <v>10092741.76</v>
      </c>
      <c r="C148" s="27">
        <f>VLOOKUP(A148,[2]ticket_pivot!$A$6:$V$127,3,FALSE)</f>
        <v>9696980.28</v>
      </c>
      <c r="D148" s="28">
        <f t="shared" si="8"/>
        <v>0.96078751548281</v>
      </c>
      <c r="E148" s="27">
        <f>VLOOKUP(A148,[2]ticket_pivot!$A$6:$V$127,4,FALSE)</f>
        <v>9371075.73</v>
      </c>
      <c r="F148" s="28">
        <f t="shared" si="9"/>
        <v>0.966391129961131</v>
      </c>
      <c r="G148" s="27">
        <f>VLOOKUP(A148,[2]Sheet12!$A$5:$G$125,2,FALSE)</f>
        <v>142460452.39</v>
      </c>
      <c r="H148" s="27"/>
      <c r="I148" s="28">
        <f t="shared" si="10"/>
        <v>0</v>
      </c>
      <c r="J148" s="27">
        <f>VLOOKUP(A148,[2]PAR!$A$5:$H$120,2,FALSE)</f>
        <v>927385.94</v>
      </c>
      <c r="K148" s="28">
        <f t="shared" si="11"/>
        <v>0.0065097781485432</v>
      </c>
    </row>
    <row r="149" spans="1:11">
      <c r="A149" s="24" t="s">
        <v>160</v>
      </c>
      <c r="B149" s="25">
        <f>VLOOKUP(A149,[2]ticket_pivot!$A$6:$V$127,2,FALSE)</f>
        <v>14849651.45</v>
      </c>
      <c r="C149" s="25">
        <f>VLOOKUP(A149,[2]ticket_pivot!$A$6:$V$127,3,FALSE)</f>
        <v>14414314.15</v>
      </c>
      <c r="D149" s="26">
        <f t="shared" si="8"/>
        <v>0.970683668807593</v>
      </c>
      <c r="E149" s="25">
        <f>VLOOKUP(A149,[2]ticket_pivot!$A$6:$V$127,4,FALSE)</f>
        <v>14313261.26</v>
      </c>
      <c r="F149" s="26">
        <f t="shared" si="9"/>
        <v>0.992989406991661</v>
      </c>
      <c r="G149" s="25">
        <f>VLOOKUP(A149,[2]Sheet12!$A$5:$G$125,2,FALSE)</f>
        <v>193568701.97</v>
      </c>
      <c r="H149" s="25"/>
      <c r="I149" s="26">
        <f t="shared" si="10"/>
        <v>0</v>
      </c>
      <c r="J149" s="25"/>
      <c r="K149" s="26">
        <f t="shared" si="11"/>
        <v>0</v>
      </c>
    </row>
    <row r="150" spans="1:11">
      <c r="A150" s="24" t="s">
        <v>161</v>
      </c>
      <c r="B150" s="27">
        <f>VLOOKUP(A150,[2]ticket_pivot!$A$6:$V$127,2,FALSE)</f>
        <v>11290545.05</v>
      </c>
      <c r="C150" s="27">
        <f>VLOOKUP(A150,[2]ticket_pivot!$A$6:$V$127,3,FALSE)</f>
        <v>11248890.24</v>
      </c>
      <c r="D150" s="28">
        <f t="shared" si="8"/>
        <v>0.996310646668027</v>
      </c>
      <c r="E150" s="27">
        <f>VLOOKUP(A150,[2]ticket_pivot!$A$6:$V$127,4,FALSE)</f>
        <v>11092244.2</v>
      </c>
      <c r="F150" s="28">
        <f t="shared" si="9"/>
        <v>0.986074533873308</v>
      </c>
      <c r="G150" s="27">
        <f>VLOOKUP(A150,[2]Sheet12!$A$5:$G$125,2,FALSE)</f>
        <v>141132867.72</v>
      </c>
      <c r="H150" s="27"/>
      <c r="I150" s="28">
        <f t="shared" si="10"/>
        <v>0</v>
      </c>
      <c r="J150" s="27">
        <f>VLOOKUP(A150,[2]PAR!$A$5:$H$120,2,FALSE)</f>
        <v>811084.44</v>
      </c>
      <c r="K150" s="28">
        <f t="shared" si="11"/>
        <v>0.00574695641846623</v>
      </c>
    </row>
    <row r="151" spans="1:11">
      <c r="A151" s="29" t="s">
        <v>162</v>
      </c>
      <c r="B151" s="30">
        <f>SUM(B147:B150)</f>
        <v>41884792.88</v>
      </c>
      <c r="C151" s="30">
        <f>SUM(C147:C150)</f>
        <v>40850520.31</v>
      </c>
      <c r="D151" s="31">
        <f t="shared" si="8"/>
        <v>0.975306728316332</v>
      </c>
      <c r="E151" s="30">
        <f>SUM(E147:E150)</f>
        <v>40202142.18</v>
      </c>
      <c r="F151" s="31">
        <f t="shared" si="9"/>
        <v>0.984128032517587</v>
      </c>
      <c r="G151" s="30">
        <f>SUM(G147:G150)</f>
        <v>547559797.2</v>
      </c>
      <c r="H151" s="30">
        <f>SUM(H147:H150)</f>
        <v>0</v>
      </c>
      <c r="I151" s="31">
        <f t="shared" si="10"/>
        <v>0</v>
      </c>
      <c r="J151" s="30">
        <f>SUM(J147:J150)</f>
        <v>2944417.14</v>
      </c>
      <c r="K151" s="31">
        <f t="shared" si="11"/>
        <v>0.0053773435432195</v>
      </c>
    </row>
    <row r="152" spans="1:11">
      <c r="A152" s="24" t="s">
        <v>163</v>
      </c>
      <c r="B152" s="27">
        <f>VLOOKUP(A152,[2]ticket_pivot!$A$6:$V$127,2,FALSE)</f>
        <v>9407248.54</v>
      </c>
      <c r="C152" s="27">
        <f>VLOOKUP(A152,[2]ticket_pivot!$A$6:$V$127,3,FALSE)</f>
        <v>8974986.62</v>
      </c>
      <c r="D152" s="28">
        <f t="shared" si="8"/>
        <v>0.954050122290061</v>
      </c>
      <c r="E152" s="27">
        <f>VLOOKUP(A152,[2]ticket_pivot!$A$6:$V$127,4,FALSE)</f>
        <v>8866265.82</v>
      </c>
      <c r="F152" s="28">
        <f t="shared" si="9"/>
        <v>0.987886243779158</v>
      </c>
      <c r="G152" s="27">
        <f>VLOOKUP(A152,[2]Sheet12!$A$5:$G$125,2,FALSE)</f>
        <v>134190565.84</v>
      </c>
      <c r="H152" s="27">
        <f>VLOOKUP(A152,[2]NPL!$A$5:$H$119,2,FALSE)</f>
        <v>521856.35</v>
      </c>
      <c r="I152" s="28">
        <f t="shared" si="10"/>
        <v>0.00388891981141377</v>
      </c>
      <c r="J152" s="27">
        <f>VLOOKUP(A152,[2]PAR!$A$5:$H$120,2,FALSE)</f>
        <v>521856.35</v>
      </c>
      <c r="K152" s="28">
        <f t="shared" si="11"/>
        <v>0.00388891981141377</v>
      </c>
    </row>
    <row r="153" spans="1:11">
      <c r="A153" s="24" t="s">
        <v>164</v>
      </c>
      <c r="B153" s="27">
        <f>VLOOKUP(A153,[2]ticket_pivot!$A$6:$V$127,2,FALSE)</f>
        <v>12360344.1</v>
      </c>
      <c r="C153" s="27">
        <f>VLOOKUP(A153,[2]ticket_pivot!$A$6:$V$127,3,FALSE)</f>
        <v>11705255.03</v>
      </c>
      <c r="D153" s="28">
        <f t="shared" ref="D153:D186" si="12">IFERROR(C153/B153,"")</f>
        <v>0.94700074167029</v>
      </c>
      <c r="E153" s="27">
        <f>VLOOKUP(A153,[2]ticket_pivot!$A$6:$V$127,4,FALSE)</f>
        <v>11559685.39</v>
      </c>
      <c r="F153" s="28">
        <f t="shared" ref="F153:F186" si="13">IFERROR(E153/C153,"")</f>
        <v>0.987563736148686</v>
      </c>
      <c r="G153" s="27">
        <f>VLOOKUP(A153,[2]Sheet12!$A$5:$G$125,2,FALSE)</f>
        <v>159769600.18</v>
      </c>
      <c r="H153" s="27"/>
      <c r="I153" s="28">
        <f t="shared" si="10"/>
        <v>0</v>
      </c>
      <c r="J153" s="27">
        <f>VLOOKUP(A153,[2]PAR!$A$5:$H$120,2,FALSE)</f>
        <v>2123618.03</v>
      </c>
      <c r="K153" s="28">
        <f t="shared" si="11"/>
        <v>0.0132917527965738</v>
      </c>
    </row>
    <row r="154" spans="1:11">
      <c r="A154" s="24" t="s">
        <v>165</v>
      </c>
      <c r="B154" s="25">
        <f>VLOOKUP(A154,[2]ticket_pivot!$A$6:$V$127,2,FALSE)</f>
        <v>14031401.09</v>
      </c>
      <c r="C154" s="25">
        <f>VLOOKUP(A154,[2]ticket_pivot!$A$6:$V$127,3,FALSE)</f>
        <v>13489571.9</v>
      </c>
      <c r="D154" s="26">
        <f t="shared" si="12"/>
        <v>0.961384526995942</v>
      </c>
      <c r="E154" s="25">
        <f>VLOOKUP(A154,[2]ticket_pivot!$A$6:$V$127,4,FALSE)</f>
        <v>13296662.89</v>
      </c>
      <c r="F154" s="26">
        <f t="shared" si="13"/>
        <v>0.98569939717657</v>
      </c>
      <c r="G154" s="25">
        <f>VLOOKUP(A154,[2]Sheet12!$A$5:$G$125,2,FALSE)</f>
        <v>189469188.58</v>
      </c>
      <c r="H154" s="25"/>
      <c r="I154" s="26">
        <f t="shared" si="10"/>
        <v>0</v>
      </c>
      <c r="J154" s="25">
        <f>VLOOKUP(A154,[2]PAR!$A$5:$H$120,2,FALSE)</f>
        <v>2418053.93</v>
      </c>
      <c r="K154" s="26">
        <f t="shared" si="11"/>
        <v>0.0127622541064455</v>
      </c>
    </row>
    <row r="155" spans="1:11">
      <c r="A155" s="24" t="s">
        <v>166</v>
      </c>
      <c r="B155" s="27">
        <f>VLOOKUP(A155,[2]ticket_pivot!$A$6:$V$127,2,FALSE)</f>
        <v>13148521.91</v>
      </c>
      <c r="C155" s="27">
        <f>VLOOKUP(A155,[2]ticket_pivot!$A$6:$V$127,3,FALSE)</f>
        <v>11865166.54</v>
      </c>
      <c r="D155" s="28">
        <f t="shared" si="12"/>
        <v>0.902395464769012</v>
      </c>
      <c r="E155" s="27">
        <f>VLOOKUP(A155,[2]ticket_pivot!$A$6:$V$127,4,FALSE)</f>
        <v>11800439.46</v>
      </c>
      <c r="F155" s="28">
        <f t="shared" si="13"/>
        <v>0.994544781164108</v>
      </c>
      <c r="G155" s="27">
        <f>VLOOKUP(A155,[2]Sheet12!$A$5:$G$125,2,FALSE)</f>
        <v>165284196.8</v>
      </c>
      <c r="H155" s="27">
        <f>VLOOKUP(A155,[2]NPL!$A$5:$H$119,2,FALSE)</f>
        <v>2386120.18</v>
      </c>
      <c r="I155" s="28">
        <f t="shared" si="10"/>
        <v>0.0144364689800761</v>
      </c>
      <c r="J155" s="27">
        <f>VLOOKUP(A155,[2]PAR!$A$5:$H$120,2,FALSE)</f>
        <v>2876546.24</v>
      </c>
      <c r="K155" s="28">
        <f t="shared" si="11"/>
        <v>0.0174036374662045</v>
      </c>
    </row>
    <row r="156" spans="1:11">
      <c r="A156" s="29" t="s">
        <v>167</v>
      </c>
      <c r="B156" s="30">
        <f>SUM(B152:B155)</f>
        <v>48947515.64</v>
      </c>
      <c r="C156" s="30">
        <f>SUM(C152:C155)</f>
        <v>46034980.09</v>
      </c>
      <c r="D156" s="31">
        <f t="shared" si="12"/>
        <v>0.940496764505451</v>
      </c>
      <c r="E156" s="30">
        <f>SUM(E152:E155)</f>
        <v>45523053.56</v>
      </c>
      <c r="F156" s="31">
        <f t="shared" si="13"/>
        <v>0.988879618737769</v>
      </c>
      <c r="G156" s="30">
        <f>SUM(G152:G155)</f>
        <v>648713551.4</v>
      </c>
      <c r="H156" s="30">
        <f>SUM(H152:H155)</f>
        <v>2907976.53</v>
      </c>
      <c r="I156" s="31">
        <f t="shared" si="10"/>
        <v>0.00448268195372865</v>
      </c>
      <c r="J156" s="30">
        <f>SUM(J152:J155)</f>
        <v>7940074.55</v>
      </c>
      <c r="K156" s="31">
        <f t="shared" si="11"/>
        <v>0.0122397235773238</v>
      </c>
    </row>
    <row r="157" spans="1:11">
      <c r="A157" s="24" t="s">
        <v>168</v>
      </c>
      <c r="B157" s="27">
        <f>VLOOKUP(A157,[2]ticket_pivot!$A$4:$V$127,2,FALSE)</f>
        <v>8441544.91</v>
      </c>
      <c r="C157" s="27">
        <f>VLOOKUP(A157,[2]ticket_pivot!$A$4:$V$127,3,FALSE)</f>
        <v>8266131.08</v>
      </c>
      <c r="D157" s="28">
        <f t="shared" si="12"/>
        <v>0.979220174521348</v>
      </c>
      <c r="E157" s="27">
        <f>VLOOKUP(A157,[2]ticket_pivot!$A$4:$V$127,4,FALSE)</f>
        <v>8232068.94</v>
      </c>
      <c r="F157" s="28">
        <f t="shared" si="13"/>
        <v>0.995879312864707</v>
      </c>
      <c r="G157" s="27">
        <f>VLOOKUP(A157,[2]Sheet12!$A$5:$G$125,2,FALSE)</f>
        <v>121548266.8</v>
      </c>
      <c r="H157" s="27"/>
      <c r="I157" s="28">
        <f t="shared" si="10"/>
        <v>0</v>
      </c>
      <c r="J157" s="27">
        <f>VLOOKUP(A157,[2]PAR!$A$5:$H$120,2,FALSE)</f>
        <v>779349.74</v>
      </c>
      <c r="K157" s="28">
        <f t="shared" si="11"/>
        <v>0.00641185399444955</v>
      </c>
    </row>
    <row r="158" spans="1:11">
      <c r="A158" s="24" t="s">
        <v>169</v>
      </c>
      <c r="B158" s="25">
        <f>VLOOKUP(A158,[2]ticket_pivot!$A$6:$V$127,2,FALSE)</f>
        <v>6903213.65</v>
      </c>
      <c r="C158" s="25">
        <f>VLOOKUP(A158,[2]ticket_pivot!$A$6:$V$127,3,FALSE)</f>
        <v>6769771.27999999</v>
      </c>
      <c r="D158" s="26">
        <f t="shared" si="12"/>
        <v>0.980669529183701</v>
      </c>
      <c r="E158" s="25">
        <f>VLOOKUP(A158,[2]ticket_pivot!$A$6:$V$127,4,FALSE)</f>
        <v>6764505.33</v>
      </c>
      <c r="F158" s="26">
        <f t="shared" si="13"/>
        <v>0.999222137679074</v>
      </c>
      <c r="G158" s="25">
        <f>VLOOKUP(A158,[2]Sheet12!$A$5:$G$125,2,FALSE)</f>
        <v>95783969.18</v>
      </c>
      <c r="H158" s="25"/>
      <c r="I158" s="26">
        <f t="shared" si="10"/>
        <v>0</v>
      </c>
      <c r="J158" s="25"/>
      <c r="K158" s="26">
        <f t="shared" si="11"/>
        <v>0</v>
      </c>
    </row>
    <row r="159" spans="1:11">
      <c r="A159" s="24" t="s">
        <v>170</v>
      </c>
      <c r="B159" s="25">
        <f>VLOOKUP(A159,[2]ticket_pivot!$A$6:$V$127,2,FALSE)</f>
        <v>4566046.43</v>
      </c>
      <c r="C159" s="25">
        <f>VLOOKUP(A159,[2]ticket_pivot!$A$6:$V$127,3,FALSE)</f>
        <v>3586469.67</v>
      </c>
      <c r="D159" s="26">
        <f t="shared" si="12"/>
        <v>0.785465002378436</v>
      </c>
      <c r="E159" s="25">
        <f>VLOOKUP(A159,[2]ticket_pivot!$A$6:$V$127,4,FALSE)</f>
        <v>3495458.72</v>
      </c>
      <c r="F159" s="26">
        <f t="shared" si="13"/>
        <v>0.974623806033748</v>
      </c>
      <c r="G159" s="25">
        <f>VLOOKUP(A159,[2]Sheet12!$A$5:$G$125,2,FALSE)</f>
        <v>68438730.58</v>
      </c>
      <c r="H159" s="25">
        <f>VLOOKUP(A159,[2]NPL!$A$5:$H$119,2,FALSE)</f>
        <v>1473758.34</v>
      </c>
      <c r="I159" s="26">
        <f t="shared" si="10"/>
        <v>0.021533981234168</v>
      </c>
      <c r="J159" s="25">
        <f>VLOOKUP(A159,[2]PAR!$A$5:$H$120,2,FALSE)</f>
        <v>1473758.34</v>
      </c>
      <c r="K159" s="26">
        <f t="shared" si="11"/>
        <v>0.021533981234168</v>
      </c>
    </row>
    <row r="160" spans="1:11">
      <c r="A160" s="29" t="s">
        <v>171</v>
      </c>
      <c r="B160" s="30">
        <f>SUM(B157:B159)</f>
        <v>19910804.99</v>
      </c>
      <c r="C160" s="30">
        <f>SUM(C157:C159)</f>
        <v>18622372.03</v>
      </c>
      <c r="D160" s="31">
        <f t="shared" si="12"/>
        <v>0.935289760476932</v>
      </c>
      <c r="E160" s="30">
        <f>SUM(E157:E159)</f>
        <v>18492032.99</v>
      </c>
      <c r="F160" s="31">
        <f t="shared" si="13"/>
        <v>0.993000943177914</v>
      </c>
      <c r="G160" s="30">
        <f>SUM(G157:G159)</f>
        <v>285770966.56</v>
      </c>
      <c r="H160" s="30">
        <f>SUM(H157:H159)</f>
        <v>1473758.34</v>
      </c>
      <c r="I160" s="31">
        <f t="shared" si="10"/>
        <v>0.00515713110306667</v>
      </c>
      <c r="J160" s="30">
        <f>SUM(J157:J159)</f>
        <v>2253108.08</v>
      </c>
      <c r="K160" s="31">
        <f t="shared" si="11"/>
        <v>0.0078843141664181</v>
      </c>
    </row>
    <row r="161" spans="1:11">
      <c r="A161" s="32" t="s">
        <v>172</v>
      </c>
      <c r="B161" s="33">
        <f>SUM(B160,B156,B151)</f>
        <v>110743113.51</v>
      </c>
      <c r="C161" s="33">
        <f>SUM(C160,C156,C151)</f>
        <v>105507872.43</v>
      </c>
      <c r="D161" s="34">
        <f t="shared" si="12"/>
        <v>0.952726260675999</v>
      </c>
      <c r="E161" s="33">
        <f>SUM(E160,E156,E151)</f>
        <v>104217228.73</v>
      </c>
      <c r="F161" s="34">
        <f t="shared" si="13"/>
        <v>0.9877673232312</v>
      </c>
      <c r="G161" s="33">
        <f>SUM(G160,G156,G151)</f>
        <v>1482044315.16</v>
      </c>
      <c r="H161" s="33">
        <f>SUM(H160,H156,H151)</f>
        <v>4381734.87</v>
      </c>
      <c r="I161" s="34">
        <f t="shared" si="10"/>
        <v>0.00295654780709236</v>
      </c>
      <c r="J161" s="33">
        <f>SUM(J160,J156,J151)</f>
        <v>13137599.77</v>
      </c>
      <c r="K161" s="34">
        <f t="shared" si="11"/>
        <v>0.00886451210372996</v>
      </c>
    </row>
    <row r="162" spans="1:11">
      <c r="A162" s="35" t="s">
        <v>173</v>
      </c>
      <c r="B162" s="36">
        <f>SUM(B161,B146,B132)</f>
        <v>319466917.49</v>
      </c>
      <c r="C162" s="36">
        <f>SUM(C161,C146,C132)</f>
        <v>301131159.69</v>
      </c>
      <c r="D162" s="37">
        <f t="shared" si="12"/>
        <v>0.942605143768685</v>
      </c>
      <c r="E162" s="36">
        <f>SUM(E161,E146,E132)</f>
        <v>295462192.22</v>
      </c>
      <c r="F162" s="37">
        <f t="shared" si="13"/>
        <v>0.981174424208256</v>
      </c>
      <c r="G162" s="36">
        <f>SUM(G161,G146,G132)</f>
        <v>4491124612.14</v>
      </c>
      <c r="H162" s="36">
        <f>SUM(H161,H146,H132)</f>
        <v>10001277.18</v>
      </c>
      <c r="I162" s="37">
        <f t="shared" si="10"/>
        <v>0.00222689816999632</v>
      </c>
      <c r="J162" s="36">
        <f>SUM(J161,J146,J132)</f>
        <v>45815768.46</v>
      </c>
      <c r="K162" s="37">
        <f t="shared" si="11"/>
        <v>0.0102014021913698</v>
      </c>
    </row>
    <row r="163" spans="1:11">
      <c r="A163" s="24" t="s">
        <v>174</v>
      </c>
      <c r="B163" s="27">
        <f>VLOOKUP(A163,[2]ticket_pivot!$A$6:$V$127,2,FALSE)</f>
        <v>14800069.67</v>
      </c>
      <c r="C163" s="27">
        <f>VLOOKUP(A163,[2]ticket_pivot!$A$6:$V$127,3,FALSE)</f>
        <v>12586231.17</v>
      </c>
      <c r="D163" s="28">
        <f t="shared" si="12"/>
        <v>0.850417021719331</v>
      </c>
      <c r="E163" s="27">
        <f>VLOOKUP(A163,[2]ticket_pivot!$A$6:$V$127,4,FALSE)</f>
        <v>11966620.99</v>
      </c>
      <c r="F163" s="28">
        <f t="shared" si="13"/>
        <v>0.950770792969632</v>
      </c>
      <c r="G163" s="27">
        <f>VLOOKUP(A163,[2]Sheet12!$A$5:$G$125,2,FALSE)</f>
        <v>157062025.13</v>
      </c>
      <c r="H163" s="27">
        <f>VLOOKUP(A163,[2]NPL!$A$5:$H$119,2,FALSE)</f>
        <v>12789704.92</v>
      </c>
      <c r="I163" s="28">
        <f t="shared" si="10"/>
        <v>0.0814309181956235</v>
      </c>
      <c r="J163" s="27">
        <f>VLOOKUP(A163,[2]PAR!$A$5:$H$120,2,FALSE)</f>
        <v>12789704.92</v>
      </c>
      <c r="K163" s="28">
        <f t="shared" si="11"/>
        <v>0.0814309181956235</v>
      </c>
    </row>
    <row r="164" spans="1:11">
      <c r="A164" s="24" t="s">
        <v>175</v>
      </c>
      <c r="B164" s="25">
        <f>VLOOKUP(A164,[2]ticket_pivot!$A$6:$V$127,2,FALSE)</f>
        <v>17282532.29</v>
      </c>
      <c r="C164" s="25">
        <f>VLOOKUP(A164,[2]ticket_pivot!$A$6:$V$127,3,FALSE)</f>
        <v>16894326.79</v>
      </c>
      <c r="D164" s="26">
        <f t="shared" si="12"/>
        <v>0.977537695663695</v>
      </c>
      <c r="E164" s="25">
        <f>VLOOKUP(A164,[2]ticket_pivot!$A$6:$V$127,4,FALSE)</f>
        <v>16363533.71</v>
      </c>
      <c r="F164" s="26">
        <f t="shared" si="13"/>
        <v>0.96858157850278</v>
      </c>
      <c r="G164" s="25">
        <f>VLOOKUP(A164,[2]Sheet12!$A$5:$G$125,2,FALSE)</f>
        <v>217285660.23</v>
      </c>
      <c r="H164" s="25"/>
      <c r="I164" s="26">
        <f t="shared" si="10"/>
        <v>0</v>
      </c>
      <c r="J164" s="25">
        <f>VLOOKUP(A164,[2]PAR!$A$5:$H$120,2,FALSE)</f>
        <v>3422359.53</v>
      </c>
      <c r="K164" s="26">
        <f t="shared" si="11"/>
        <v>0.0157505080012063</v>
      </c>
    </row>
    <row r="165" spans="1:11">
      <c r="A165" s="29" t="s">
        <v>176</v>
      </c>
      <c r="B165" s="30">
        <f>SUM(B163:B164)</f>
        <v>32082601.96</v>
      </c>
      <c r="C165" s="30">
        <f>SUM(C163:C164)</f>
        <v>29480557.96</v>
      </c>
      <c r="D165" s="31">
        <f t="shared" si="12"/>
        <v>0.918895481007302</v>
      </c>
      <c r="E165" s="30">
        <f>SUM(E163:E164)</f>
        <v>28330154.7</v>
      </c>
      <c r="F165" s="31">
        <f t="shared" si="13"/>
        <v>0.960977561497958</v>
      </c>
      <c r="G165" s="30">
        <f>SUM(G163:G164)</f>
        <v>374347685.36</v>
      </c>
      <c r="H165" s="30">
        <f>SUM(H163:H164)</f>
        <v>12789704.92</v>
      </c>
      <c r="I165" s="31">
        <f t="shared" si="10"/>
        <v>0.0341653105393198</v>
      </c>
      <c r="J165" s="30">
        <f>SUM(J163:J164)</f>
        <v>16212064.45</v>
      </c>
      <c r="K165" s="31">
        <f t="shared" si="11"/>
        <v>0.0433075055196596</v>
      </c>
    </row>
    <row r="166" spans="1:11">
      <c r="A166" s="24" t="s">
        <v>177</v>
      </c>
      <c r="B166" s="27">
        <f>VLOOKUP(A166,[2]ticket_pivot!$A$6:$V$127,2,FALSE)</f>
        <v>11896266.95</v>
      </c>
      <c r="C166" s="27">
        <f>VLOOKUP(A166,[2]ticket_pivot!$A$6:$V$127,3,FALSE)</f>
        <v>10476633.54</v>
      </c>
      <c r="D166" s="28">
        <f t="shared" si="12"/>
        <v>0.880665639400434</v>
      </c>
      <c r="E166" s="27">
        <f>VLOOKUP(A166,[2]ticket_pivot!$A$6:$V$127,4,FALSE)</f>
        <v>10459625.89</v>
      </c>
      <c r="F166" s="28">
        <f t="shared" si="13"/>
        <v>0.998376611157099</v>
      </c>
      <c r="G166" s="27">
        <f>VLOOKUP(A166,[2]Sheet12!$A$5:$G$125,2,FALSE)</f>
        <v>156809134.5</v>
      </c>
      <c r="H166" s="27">
        <f>VLOOKUP(A166,[2]NPL!$A$5:$H$119,2,FALSE)</f>
        <v>1282294.74</v>
      </c>
      <c r="I166" s="28">
        <f t="shared" si="10"/>
        <v>0.00817742374568109</v>
      </c>
      <c r="J166" s="27">
        <f>VLOOKUP(A166,[2]PAR!$A$5:$H$120,2,FALSE)</f>
        <v>2411220.88</v>
      </c>
      <c r="K166" s="28">
        <f t="shared" si="11"/>
        <v>0.0153767883974897</v>
      </c>
    </row>
    <row r="167" spans="1:11">
      <c r="A167" s="24" t="s">
        <v>178</v>
      </c>
      <c r="B167" s="27">
        <f>VLOOKUP(A167,[2]ticket_pivot!$A$6:$V$127,2,FALSE)</f>
        <v>7162419.9</v>
      </c>
      <c r="C167" s="27">
        <f>VLOOKUP(A167,[2]ticket_pivot!$A$6:$V$127,3,FALSE)</f>
        <v>7172699.81</v>
      </c>
      <c r="D167" s="28">
        <f t="shared" si="12"/>
        <v>1.00143525653948</v>
      </c>
      <c r="E167" s="27">
        <f>VLOOKUP(A167,[2]ticket_pivot!$A$6:$V$127,4,FALSE)</f>
        <v>7162419.9</v>
      </c>
      <c r="F167" s="28">
        <f t="shared" si="13"/>
        <v>0.998566800469515</v>
      </c>
      <c r="G167" s="27">
        <f>VLOOKUP(A167,[2]Sheet12!$A$5:$G$125,2,FALSE)</f>
        <v>101869719.16</v>
      </c>
      <c r="H167" s="27"/>
      <c r="I167" s="28">
        <f t="shared" si="10"/>
        <v>0</v>
      </c>
      <c r="J167" s="27"/>
      <c r="K167" s="28">
        <f t="shared" si="11"/>
        <v>0</v>
      </c>
    </row>
    <row r="168" spans="1:11">
      <c r="A168" s="24" t="s">
        <v>179</v>
      </c>
      <c r="B168" s="25">
        <f>VLOOKUP(A168,[2]ticket_pivot!$A$6:$V$127,2,FALSE)</f>
        <v>10076864.28</v>
      </c>
      <c r="C168" s="25">
        <f>VLOOKUP(A168,[2]ticket_pivot!$A$6:$V$127,3,FALSE)</f>
        <v>10143794.43</v>
      </c>
      <c r="D168" s="26">
        <f t="shared" si="12"/>
        <v>1.00664196203702</v>
      </c>
      <c r="E168" s="25">
        <f>VLOOKUP(A168,[2]ticket_pivot!$A$6:$V$127,4,FALSE)</f>
        <v>10054332.94</v>
      </c>
      <c r="F168" s="26">
        <f t="shared" si="13"/>
        <v>0.991180668080633</v>
      </c>
      <c r="G168" s="25">
        <f>VLOOKUP(A168,[2]Sheet12!$A$5:$G$125,2,FALSE)</f>
        <v>140393554.72</v>
      </c>
      <c r="H168" s="25"/>
      <c r="I168" s="26">
        <f t="shared" si="10"/>
        <v>0</v>
      </c>
      <c r="J168" s="25"/>
      <c r="K168" s="26">
        <f t="shared" si="11"/>
        <v>0</v>
      </c>
    </row>
    <row r="169" spans="1:11">
      <c r="A169" s="29" t="s">
        <v>180</v>
      </c>
      <c r="B169" s="30">
        <f>SUM(B166:B168)</f>
        <v>29135551.13</v>
      </c>
      <c r="C169" s="30">
        <f>SUM(C166:C168)</f>
        <v>27793127.78</v>
      </c>
      <c r="D169" s="31">
        <f t="shared" si="12"/>
        <v>0.953924902809965</v>
      </c>
      <c r="E169" s="30">
        <f>SUM(E166:E168)</f>
        <v>27676378.73</v>
      </c>
      <c r="F169" s="31">
        <f t="shared" si="13"/>
        <v>0.9957993554765</v>
      </c>
      <c r="G169" s="30">
        <f>SUM(G166:G168)</f>
        <v>399072408.38</v>
      </c>
      <c r="H169" s="30">
        <f>SUM(H166:H168)</f>
        <v>1282294.74</v>
      </c>
      <c r="I169" s="31">
        <f t="shared" si="10"/>
        <v>0.00321318816604076</v>
      </c>
      <c r="J169" s="30">
        <f>SUM(J166:J168)</f>
        <v>2411220.88</v>
      </c>
      <c r="K169" s="31">
        <f t="shared" si="11"/>
        <v>0.00604206361895112</v>
      </c>
    </row>
    <row r="170" spans="1:11">
      <c r="A170" s="24" t="s">
        <v>181</v>
      </c>
      <c r="B170" s="27">
        <f>VLOOKUP(A170,[2]ticket_pivot!$A$6:$V$127,2,FALSE)</f>
        <v>5445396.81</v>
      </c>
      <c r="C170" s="27">
        <f>VLOOKUP(A170,[2]ticket_pivot!$A$6:$V$127,3,FALSE)</f>
        <v>5446921.24</v>
      </c>
      <c r="D170" s="28">
        <f t="shared" si="12"/>
        <v>1.00027994837717</v>
      </c>
      <c r="E170" s="27">
        <f>VLOOKUP(A170,[2]ticket_pivot!$A$6:$V$127,4,FALSE)</f>
        <v>5443344.71</v>
      </c>
      <c r="F170" s="28">
        <f t="shared" si="13"/>
        <v>0.999343385034883</v>
      </c>
      <c r="G170" s="27">
        <f>VLOOKUP(A170,[2]Sheet12!$A$5:$G$125,2,FALSE)</f>
        <v>60816462.2</v>
      </c>
      <c r="H170" s="27"/>
      <c r="I170" s="28">
        <f t="shared" si="10"/>
        <v>0</v>
      </c>
      <c r="J170" s="27"/>
      <c r="K170" s="28">
        <f t="shared" si="11"/>
        <v>0</v>
      </c>
    </row>
    <row r="171" spans="1:11">
      <c r="A171" s="24" t="s">
        <v>182</v>
      </c>
      <c r="B171" s="25">
        <f>VLOOKUP(A171,[2]ticket_pivot!$A$6:$V$127,2,FALSE)</f>
        <v>9335334.31</v>
      </c>
      <c r="C171" s="25">
        <f>VLOOKUP(A171,[2]ticket_pivot!$A$6:$V$127,3,FALSE)</f>
        <v>8846181.85</v>
      </c>
      <c r="D171" s="26">
        <f t="shared" si="12"/>
        <v>0.947602041474185</v>
      </c>
      <c r="E171" s="25">
        <f>VLOOKUP(A171,[2]ticket_pivot!$A$6:$V$127,4,FALSE)</f>
        <v>8838621.39</v>
      </c>
      <c r="F171" s="26">
        <f t="shared" si="13"/>
        <v>0.999145342009898</v>
      </c>
      <c r="G171" s="25">
        <f>VLOOKUP(A171,[2]Sheet12!$A$5:$G$125,2,FALSE)</f>
        <v>141992011.33</v>
      </c>
      <c r="H171" s="25"/>
      <c r="I171" s="26">
        <f t="shared" si="10"/>
        <v>0</v>
      </c>
      <c r="J171" s="25"/>
      <c r="K171" s="26">
        <f t="shared" si="11"/>
        <v>0</v>
      </c>
    </row>
    <row r="172" spans="1:11">
      <c r="A172" s="29" t="s">
        <v>183</v>
      </c>
      <c r="B172" s="30">
        <f>SUM(B170:B171)</f>
        <v>14780731.12</v>
      </c>
      <c r="C172" s="30">
        <f>SUM(C170:C171)</f>
        <v>14293103.09</v>
      </c>
      <c r="D172" s="31">
        <f t="shared" si="12"/>
        <v>0.967009207728555</v>
      </c>
      <c r="E172" s="30">
        <f>SUM(E170:E171)</f>
        <v>14281966.1</v>
      </c>
      <c r="F172" s="31">
        <f t="shared" si="13"/>
        <v>0.999220813707851</v>
      </c>
      <c r="G172" s="30">
        <f>SUM(G170:G171)</f>
        <v>202808473.53</v>
      </c>
      <c r="H172" s="30">
        <f>SUM(H170:H171)</f>
        <v>0</v>
      </c>
      <c r="I172" s="31">
        <f t="shared" si="10"/>
        <v>0</v>
      </c>
      <c r="J172" s="30">
        <f>SUM(J170:J171)</f>
        <v>0</v>
      </c>
      <c r="K172" s="31">
        <f t="shared" si="11"/>
        <v>0</v>
      </c>
    </row>
    <row r="173" spans="1:11">
      <c r="A173" s="32" t="s">
        <v>184</v>
      </c>
      <c r="B173" s="33">
        <f>SUM(B172,B169,B165)</f>
        <v>75998884.21</v>
      </c>
      <c r="C173" s="33">
        <f>SUM(C172,C169,C165)</f>
        <v>71566788.83</v>
      </c>
      <c r="D173" s="34">
        <f t="shared" si="12"/>
        <v>0.941682099335127</v>
      </c>
      <c r="E173" s="33">
        <f>SUM(E172,E169,E165)</f>
        <v>70288499.53</v>
      </c>
      <c r="F173" s="34">
        <f t="shared" si="13"/>
        <v>0.98213851255732</v>
      </c>
      <c r="G173" s="33">
        <f>SUM(G172,G169,G165)</f>
        <v>976228567.27</v>
      </c>
      <c r="H173" s="33">
        <f>SUM(H172,H169,H165)</f>
        <v>14071999.66</v>
      </c>
      <c r="I173" s="34">
        <f t="shared" si="10"/>
        <v>0.0144146567021205</v>
      </c>
      <c r="J173" s="33">
        <f>SUM(J172,J169,J165)</f>
        <v>18623285.33</v>
      </c>
      <c r="K173" s="34">
        <f t="shared" si="11"/>
        <v>0.0190767674235139</v>
      </c>
    </row>
    <row r="174" spans="1:11">
      <c r="A174" s="24" t="s">
        <v>185</v>
      </c>
      <c r="B174" s="27">
        <f>VLOOKUP(A174,[2]ticket_pivot!$A$6:$V$127,2,FALSE)</f>
        <v>7000345.2</v>
      </c>
      <c r="C174" s="27">
        <f>VLOOKUP(A174,[2]ticket_pivot!$A$6:$V$127,3,FALSE)</f>
        <v>6944800.72</v>
      </c>
      <c r="D174" s="28">
        <f t="shared" si="12"/>
        <v>0.992065465571612</v>
      </c>
      <c r="E174" s="27">
        <f>VLOOKUP(A174,[2]ticket_pivot!$A$6:$V$127,4,FALSE)</f>
        <v>6836127.81</v>
      </c>
      <c r="F174" s="28">
        <f t="shared" si="13"/>
        <v>0.984351903764922</v>
      </c>
      <c r="G174" s="27">
        <f>VLOOKUP(A174,[2]Sheet12!$A$5:$G$125,2,FALSE)</f>
        <v>91292925.4</v>
      </c>
      <c r="H174" s="27"/>
      <c r="I174" s="28">
        <f t="shared" si="10"/>
        <v>0</v>
      </c>
      <c r="J174" s="27">
        <f>VLOOKUP(A174,[2]PAR!$A$5:$H$120,2,FALSE)</f>
        <v>487136.82</v>
      </c>
      <c r="K174" s="28">
        <f t="shared" si="11"/>
        <v>0.00533597557385318</v>
      </c>
    </row>
    <row r="175" spans="1:11">
      <c r="A175" s="24" t="s">
        <v>186</v>
      </c>
      <c r="B175" s="27">
        <f>VLOOKUP(A175,[2]ticket_pivot!$A$6:$V$127,2,FALSE)</f>
        <v>3716501.27</v>
      </c>
      <c r="C175" s="27">
        <f>VLOOKUP(A175,[2]ticket_pivot!$A$6:$V$127,3,FALSE)</f>
        <v>3703673.76</v>
      </c>
      <c r="D175" s="28">
        <f t="shared" si="12"/>
        <v>0.996548498421474</v>
      </c>
      <c r="E175" s="27">
        <f>VLOOKUP(A175,[2]ticket_pivot!$A$6:$V$127,4,FALSE)</f>
        <v>3699303.45</v>
      </c>
      <c r="F175" s="28">
        <f t="shared" si="13"/>
        <v>0.998820006759991</v>
      </c>
      <c r="G175" s="27">
        <f>VLOOKUP(A175,[2]Sheet12!$A$5:$G$125,2,FALSE)</f>
        <v>46898419.38</v>
      </c>
      <c r="H175" s="27"/>
      <c r="I175" s="28">
        <f t="shared" si="10"/>
        <v>0</v>
      </c>
      <c r="J175" s="27"/>
      <c r="K175" s="28">
        <f t="shared" si="11"/>
        <v>0</v>
      </c>
    </row>
    <row r="176" spans="1:11">
      <c r="A176" s="24" t="s">
        <v>187</v>
      </c>
      <c r="B176" s="25">
        <f>VLOOKUP(A176,[2]ticket_pivot!$A$6:$V$127,2,FALSE)</f>
        <v>7761886.86</v>
      </c>
      <c r="C176" s="25">
        <f>VLOOKUP(A176,[2]ticket_pivot!$A$6:$V$127,3,FALSE)</f>
        <v>7695017.76</v>
      </c>
      <c r="D176" s="26">
        <f t="shared" si="12"/>
        <v>0.991384942707089</v>
      </c>
      <c r="E176" s="25">
        <f>VLOOKUP(A176,[2]ticket_pivot!$A$6:$V$127,4,FALSE)</f>
        <v>7687465.09</v>
      </c>
      <c r="F176" s="26">
        <f t="shared" si="13"/>
        <v>0.999018498691548</v>
      </c>
      <c r="G176" s="25">
        <f>VLOOKUP(A176,[2]Sheet12!$A$5:$G$125,2,FALSE)</f>
        <v>89829083.32</v>
      </c>
      <c r="H176" s="25"/>
      <c r="I176" s="26">
        <f t="shared" si="10"/>
        <v>0</v>
      </c>
      <c r="J176" s="25"/>
      <c r="K176" s="26">
        <f t="shared" si="11"/>
        <v>0</v>
      </c>
    </row>
    <row r="177" spans="1:11">
      <c r="A177" s="29" t="s">
        <v>188</v>
      </c>
      <c r="B177" s="30">
        <f>SUM(B174:B176)</f>
        <v>18478733.33</v>
      </c>
      <c r="C177" s="30">
        <f>SUM(C174:C176)</f>
        <v>18343492.24</v>
      </c>
      <c r="D177" s="31">
        <f t="shared" si="12"/>
        <v>0.992681257552408</v>
      </c>
      <c r="E177" s="30">
        <f>SUM(E174:E176)</f>
        <v>18222896.35</v>
      </c>
      <c r="F177" s="31">
        <f t="shared" si="13"/>
        <v>0.993425685337221</v>
      </c>
      <c r="G177" s="30">
        <f>SUM(G174:G176)</f>
        <v>228020428.1</v>
      </c>
      <c r="H177" s="30">
        <f>SUM(H174:H176)</f>
        <v>0</v>
      </c>
      <c r="I177" s="31">
        <f t="shared" si="10"/>
        <v>0</v>
      </c>
      <c r="J177" s="30">
        <f>SUM(J174:J176)</f>
        <v>487136.82</v>
      </c>
      <c r="K177" s="31">
        <f t="shared" si="11"/>
        <v>0.0021363735874856</v>
      </c>
    </row>
    <row r="178" spans="1:11">
      <c r="A178" s="24" t="s">
        <v>189</v>
      </c>
      <c r="B178" s="27">
        <f>VLOOKUP(A178,[2]ticket_pivot!$A$6:$V$127,2,FALSE)</f>
        <v>9377233.99</v>
      </c>
      <c r="C178" s="27">
        <f>VLOOKUP(A178,[2]ticket_pivot!$A$6:$V$127,3,FALSE)</f>
        <v>9603079.88</v>
      </c>
      <c r="D178" s="28">
        <f t="shared" si="12"/>
        <v>1.02408448911916</v>
      </c>
      <c r="E178" s="27">
        <f>VLOOKUP(A178,[2]ticket_pivot!$A$6:$V$127,4,FALSE)</f>
        <v>9333107.64</v>
      </c>
      <c r="F178" s="28">
        <f t="shared" si="13"/>
        <v>0.971886910931329</v>
      </c>
      <c r="G178" s="27">
        <f>VLOOKUP(A178,[2]Sheet12!$A$5:$G$125,2,FALSE)</f>
        <v>123830509.21</v>
      </c>
      <c r="H178" s="27"/>
      <c r="I178" s="28">
        <f t="shared" si="10"/>
        <v>0</v>
      </c>
      <c r="J178" s="27"/>
      <c r="K178" s="28">
        <f t="shared" si="11"/>
        <v>0</v>
      </c>
    </row>
    <row r="179" spans="1:11">
      <c r="A179" s="24" t="s">
        <v>190</v>
      </c>
      <c r="B179" s="25">
        <f>VLOOKUP(A179,[2]ticket_pivot!$A$6:$V$127,2,FALSE)</f>
        <v>11995969.17</v>
      </c>
      <c r="C179" s="25">
        <f>VLOOKUP(A179,[2]ticket_pivot!$A$6:$V$127,3,FALSE)</f>
        <v>11546109.64</v>
      </c>
      <c r="D179" s="26">
        <f t="shared" si="12"/>
        <v>0.962499109190359</v>
      </c>
      <c r="E179" s="25">
        <f>VLOOKUP(A179,[2]ticket_pivot!$A$6:$V$127,4,FALSE)</f>
        <v>11465087.33</v>
      </c>
      <c r="F179" s="26">
        <f t="shared" si="13"/>
        <v>0.992982717770208</v>
      </c>
      <c r="G179" s="25">
        <f>VLOOKUP(A179,[2]Sheet12!$A$5:$G$125,2,FALSE)</f>
        <v>121166933.1</v>
      </c>
      <c r="H179" s="25"/>
      <c r="I179" s="26">
        <f t="shared" si="10"/>
        <v>0</v>
      </c>
      <c r="J179" s="25">
        <f>VLOOKUP(A179,[2]PAR!$A$5:$H$120,2,FALSE)</f>
        <v>2085063.73</v>
      </c>
      <c r="K179" s="26">
        <f t="shared" si="11"/>
        <v>0.0172081910192377</v>
      </c>
    </row>
    <row r="180" spans="1:11">
      <c r="A180" s="29" t="s">
        <v>191</v>
      </c>
      <c r="B180" s="30">
        <f>SUM(B178:B179)</f>
        <v>21373203.16</v>
      </c>
      <c r="C180" s="30">
        <f>SUM(C178:C179)</f>
        <v>21149189.52</v>
      </c>
      <c r="D180" s="31">
        <f t="shared" si="12"/>
        <v>0.989518948642231</v>
      </c>
      <c r="E180" s="30">
        <f>SUM(E178:E179)</f>
        <v>20798194.97</v>
      </c>
      <c r="F180" s="31">
        <f t="shared" si="13"/>
        <v>0.983403877029515</v>
      </c>
      <c r="G180" s="30">
        <f>SUM(G178:G179)</f>
        <v>244997442.31</v>
      </c>
      <c r="H180" s="30">
        <f>SUM(H178:H179)</f>
        <v>0</v>
      </c>
      <c r="I180" s="31">
        <f t="shared" si="10"/>
        <v>0</v>
      </c>
      <c r="J180" s="30">
        <f>SUM(J178:J179)</f>
        <v>2085063.73</v>
      </c>
      <c r="K180" s="31">
        <f t="shared" si="11"/>
        <v>0.00851055305043441</v>
      </c>
    </row>
    <row r="181" spans="1:11">
      <c r="A181" s="24" t="s">
        <v>192</v>
      </c>
      <c r="B181" s="27">
        <f>VLOOKUP(A181,[2]ticket_pivot!$A$6:$V$127,2,FALSE)</f>
        <v>5969231.45</v>
      </c>
      <c r="C181" s="27">
        <f>VLOOKUP(A181,[2]ticket_pivot!$A$6:$V$127,3,FALSE)</f>
        <v>5858945.21</v>
      </c>
      <c r="D181" s="28">
        <f t="shared" si="12"/>
        <v>0.981524214478231</v>
      </c>
      <c r="E181" s="27">
        <f>VLOOKUP(A181,[2]ticket_pivot!$A$6:$V$127,4,FALSE)</f>
        <v>5838480.71</v>
      </c>
      <c r="F181" s="28">
        <f t="shared" si="13"/>
        <v>0.996507135795523</v>
      </c>
      <c r="G181" s="27">
        <f>VLOOKUP(A181,[2]Sheet12!$A$5:$G$125,2,FALSE)</f>
        <v>69785223.54</v>
      </c>
      <c r="H181" s="27"/>
      <c r="I181" s="28">
        <f t="shared" si="10"/>
        <v>0</v>
      </c>
      <c r="J181" s="27"/>
      <c r="K181" s="28">
        <f t="shared" si="11"/>
        <v>0</v>
      </c>
    </row>
    <row r="182" spans="1:11">
      <c r="A182" s="24" t="s">
        <v>193</v>
      </c>
      <c r="B182" s="25">
        <f>VLOOKUP(A182,[2]ticket_pivot!$A$6:$V$127,2,FALSE)</f>
        <v>7811575.16</v>
      </c>
      <c r="C182" s="25">
        <f>VLOOKUP(A182,[2]ticket_pivot!$A$6:$V$127,3,FALSE)</f>
        <v>7187264.33</v>
      </c>
      <c r="D182" s="26">
        <f t="shared" si="12"/>
        <v>0.920078752721109</v>
      </c>
      <c r="E182" s="25">
        <f>VLOOKUP(A182,[2]ticket_pivot!$A$6:$V$127,4,FALSE)</f>
        <v>7156068.74</v>
      </c>
      <c r="F182" s="26">
        <f t="shared" si="13"/>
        <v>0.995659601683246</v>
      </c>
      <c r="G182" s="25">
        <f>VLOOKUP(A182,[2]Sheet12!$A$5:$G$125,2,FALSE)</f>
        <v>80116810.43</v>
      </c>
      <c r="H182" s="25"/>
      <c r="I182" s="26">
        <f t="shared" si="10"/>
        <v>0</v>
      </c>
      <c r="J182" s="25">
        <f>VLOOKUP(A182,[2]PAR!$A$5:$H$120,2,FALSE)</f>
        <v>1661412.78</v>
      </c>
      <c r="K182" s="26">
        <f t="shared" si="11"/>
        <v>0.0207373804708765</v>
      </c>
    </row>
    <row r="183" spans="1:11">
      <c r="A183" s="29" t="s">
        <v>194</v>
      </c>
      <c r="B183" s="30">
        <f>SUM(B181:B182)</f>
        <v>13780806.61</v>
      </c>
      <c r="C183" s="30">
        <f>SUM(C181:C182)</f>
        <v>13046209.54</v>
      </c>
      <c r="D183" s="31">
        <f t="shared" si="12"/>
        <v>0.946694189187232</v>
      </c>
      <c r="E183" s="30">
        <f>SUM(E181:E182)</f>
        <v>12994549.45</v>
      </c>
      <c r="F183" s="31">
        <f t="shared" si="13"/>
        <v>0.996040222269801</v>
      </c>
      <c r="G183" s="30">
        <f>SUM(G181:G182)</f>
        <v>149902033.97</v>
      </c>
      <c r="H183" s="30">
        <f>SUM(H181:H182)</f>
        <v>0</v>
      </c>
      <c r="I183" s="31">
        <f t="shared" si="10"/>
        <v>0</v>
      </c>
      <c r="J183" s="30">
        <f>SUM(J181:J182)</f>
        <v>1661412.78</v>
      </c>
      <c r="K183" s="31">
        <f t="shared" si="11"/>
        <v>0.0110833237948759</v>
      </c>
    </row>
    <row r="184" spans="1:11">
      <c r="A184" s="32" t="s">
        <v>195</v>
      </c>
      <c r="B184" s="33">
        <f>SUM(B183,B180,B177)</f>
        <v>53632743.1</v>
      </c>
      <c r="C184" s="33">
        <f>SUM(C183,C180,C177)</f>
        <v>52538891.3</v>
      </c>
      <c r="D184" s="34">
        <f t="shared" si="12"/>
        <v>0.979604776172636</v>
      </c>
      <c r="E184" s="33">
        <f>SUM(E183,E180,E177)</f>
        <v>52015640.77</v>
      </c>
      <c r="F184" s="34">
        <f t="shared" si="13"/>
        <v>0.990040700954038</v>
      </c>
      <c r="G184" s="33">
        <f>SUM(G183,G180,G177)</f>
        <v>622919904.38</v>
      </c>
      <c r="H184" s="33">
        <f>SUM(H183,H180,H177)</f>
        <v>0</v>
      </c>
      <c r="I184" s="34">
        <f t="shared" si="10"/>
        <v>0</v>
      </c>
      <c r="J184" s="33">
        <f>SUM(J183,J180,J177)</f>
        <v>4233613.33</v>
      </c>
      <c r="K184" s="34">
        <f t="shared" si="11"/>
        <v>0.00679640078962281</v>
      </c>
    </row>
    <row r="185" spans="1:11">
      <c r="A185" s="35" t="s">
        <v>196</v>
      </c>
      <c r="B185" s="36">
        <f>SUM(B184,B173)</f>
        <v>129631627.31</v>
      </c>
      <c r="C185" s="36">
        <f>SUM(C184,C173)</f>
        <v>124105680.13</v>
      </c>
      <c r="D185" s="37">
        <f t="shared" si="12"/>
        <v>0.957371921538983</v>
      </c>
      <c r="E185" s="36">
        <f>SUM(E184,E173)</f>
        <v>122304140.3</v>
      </c>
      <c r="F185" s="37">
        <f t="shared" si="13"/>
        <v>0.985483824526703</v>
      </c>
      <c r="G185" s="36">
        <f>SUM(G184,G173)</f>
        <v>1599148471.65</v>
      </c>
      <c r="H185" s="36">
        <f>SUM(H184,H173)</f>
        <v>14071999.66</v>
      </c>
      <c r="I185" s="37">
        <f t="shared" si="10"/>
        <v>0.00879968302472911</v>
      </c>
      <c r="J185" s="36">
        <f>SUM(J184,J173)</f>
        <v>22856898.66</v>
      </c>
      <c r="K185" s="37">
        <f t="shared" si="11"/>
        <v>0.0142931685614008</v>
      </c>
    </row>
    <row r="186" spans="1:11">
      <c r="A186" s="38" t="s">
        <v>197</v>
      </c>
      <c r="B186" s="39">
        <f>SUM(B185,B162,B114,B77,B50)</f>
        <v>1209548469.96</v>
      </c>
      <c r="C186" s="39">
        <f>SUM(C185,C162,C114,C77,C50)</f>
        <v>1071852695.73</v>
      </c>
      <c r="D186" s="40">
        <f t="shared" si="12"/>
        <v>0.886159358099512</v>
      </c>
      <c r="E186" s="39">
        <f>SUM(E185,E162,E114,E77,E50)</f>
        <v>1054327285.72</v>
      </c>
      <c r="F186" s="40">
        <f t="shared" si="13"/>
        <v>0.983649423022569</v>
      </c>
      <c r="G186" s="39">
        <f>SUM(G185,G162,G114,G77,G50)</f>
        <v>15174234470.02</v>
      </c>
      <c r="H186" s="39">
        <f>SUM(H185,H162,H114,H77,H50)</f>
        <v>34308425.98</v>
      </c>
      <c r="I186" s="41">
        <f t="shared" si="10"/>
        <v>0.00226096585285958</v>
      </c>
      <c r="J186" s="39">
        <f>SUM(J185,J162,J114,J77,J50)</f>
        <v>176028008.82</v>
      </c>
      <c r="K186" s="40">
        <f t="shared" si="11"/>
        <v>0.0116004539911243</v>
      </c>
    </row>
  </sheetData>
  <mergeCells count="1">
    <mergeCell ref="B1:K1"/>
  </mergeCells>
  <conditionalFormatting sqref="D3:D185">
    <cfRule type="cellIs" dxfId="0" priority="4" operator="lessThan">
      <formula>0.886</formula>
    </cfRule>
  </conditionalFormatting>
  <conditionalFormatting sqref="F3:F185">
    <cfRule type="cellIs" dxfId="0" priority="3" operator="lessThan">
      <formula>0.984</formula>
    </cfRule>
  </conditionalFormatting>
  <conditionalFormatting sqref="I3:I185">
    <cfRule type="cellIs" dxfId="0" priority="2" operator="greaterThan">
      <formula>0.0023</formula>
    </cfRule>
  </conditionalFormatting>
  <conditionalFormatting sqref="K3:K185">
    <cfRule type="cellIs" dxfId="0" priority="1" operator="greaterThan">
      <formula>0.012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87"/>
  <sheetViews>
    <sheetView tabSelected="1" workbookViewId="0">
      <pane xSplit="1" ySplit="1" topLeftCell="AK2" activePane="bottomRight" state="frozen"/>
      <selection/>
      <selection pane="topRight"/>
      <selection pane="bottomLeft"/>
      <selection pane="bottomRight" activeCell="AR16" sqref="AR16"/>
    </sheetView>
  </sheetViews>
  <sheetFormatPr defaultColWidth="9" defaultRowHeight="14.4"/>
  <cols>
    <col min="1" max="1" width="20.3611111111111" style="1" customWidth="1"/>
    <col min="2" max="2" width="14.4537037037037" style="1" customWidth="1"/>
    <col min="3" max="6" width="13.6296296296296" style="1" customWidth="1"/>
    <col min="7" max="7" width="9" style="1"/>
    <col min="8" max="8" width="14.0740740740741" style="1" customWidth="1"/>
    <col min="9" max="10" width="11.1111111111111" style="1" customWidth="1"/>
    <col min="11" max="14" width="9" style="1"/>
    <col min="15" max="15" width="14.4537037037037" style="1" customWidth="1"/>
    <col min="16" max="19" width="13.6296296296296" style="1" customWidth="1"/>
    <col min="20" max="27" width="9" style="1"/>
    <col min="28" max="28" width="14.4537037037037" style="1" customWidth="1"/>
    <col min="29" max="32" width="13.6296296296296" style="1" customWidth="1"/>
    <col min="33" max="34" width="9" style="1"/>
    <col min="35" max="35" width="11.2314814814815" style="1" customWidth="1"/>
    <col min="36" max="40" width="9" style="1"/>
    <col min="41" max="41" width="14.4537037037037" style="1" customWidth="1"/>
    <col min="42" max="45" width="13.6296296296296" style="1" customWidth="1"/>
    <col min="46" max="46" width="6.5462962962963" style="1" customWidth="1"/>
    <col min="47" max="47" width="11.4537037037037" style="1" customWidth="1"/>
    <col min="48" max="49" width="11.1018518518519" style="1" customWidth="1"/>
    <col min="50" max="53" width="9" style="1"/>
    <col min="54" max="54" width="14.4537037037037" style="1" customWidth="1"/>
    <col min="55" max="58" width="13.6296296296296" style="1" customWidth="1"/>
    <col min="59" max="59" width="6.5462962962963" style="1" customWidth="1"/>
    <col min="60" max="60" width="10.8611111111111" style="1" customWidth="1"/>
    <col min="61" max="61" width="11.8518518518519" style="1" customWidth="1"/>
    <col min="62" max="16384" width="9" style="1"/>
  </cols>
  <sheetData>
    <row r="1" s="1" customFormat="1" spans="1:66">
      <c r="B1" s="2" t="s">
        <v>199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200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 t="s">
        <v>201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 t="s">
        <v>202</v>
      </c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6" t="s">
        <v>203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="1" customFormat="1" ht="48" spans="1:66">
      <c r="A2" s="7" t="s">
        <v>204</v>
      </c>
      <c r="B2" s="8" t="s">
        <v>205</v>
      </c>
      <c r="C2" s="8" t="s">
        <v>206</v>
      </c>
      <c r="D2" s="8" t="s">
        <v>4</v>
      </c>
      <c r="E2" s="8" t="s">
        <v>3</v>
      </c>
      <c r="F2" s="8" t="s">
        <v>207</v>
      </c>
      <c r="G2" s="8" t="s">
        <v>208</v>
      </c>
      <c r="H2" s="8" t="s">
        <v>209</v>
      </c>
      <c r="I2" s="8" t="s">
        <v>210</v>
      </c>
      <c r="J2" s="8" t="s">
        <v>211</v>
      </c>
      <c r="K2" s="8" t="s">
        <v>212</v>
      </c>
      <c r="L2" s="8" t="s">
        <v>12</v>
      </c>
      <c r="M2" s="8" t="s">
        <v>213</v>
      </c>
      <c r="N2" s="8" t="s">
        <v>10</v>
      </c>
      <c r="O2" s="8" t="s">
        <v>205</v>
      </c>
      <c r="P2" s="8" t="s">
        <v>206</v>
      </c>
      <c r="Q2" s="8" t="s">
        <v>4</v>
      </c>
      <c r="R2" s="8" t="s">
        <v>3</v>
      </c>
      <c r="S2" s="8" t="s">
        <v>207</v>
      </c>
      <c r="T2" s="8" t="s">
        <v>208</v>
      </c>
      <c r="U2" s="8" t="s">
        <v>209</v>
      </c>
      <c r="V2" s="8" t="s">
        <v>210</v>
      </c>
      <c r="W2" s="8" t="s">
        <v>211</v>
      </c>
      <c r="X2" s="8" t="s">
        <v>212</v>
      </c>
      <c r="Y2" s="8" t="s">
        <v>12</v>
      </c>
      <c r="Z2" s="8" t="s">
        <v>213</v>
      </c>
      <c r="AA2" s="8" t="s">
        <v>10</v>
      </c>
      <c r="AB2" s="8" t="s">
        <v>205</v>
      </c>
      <c r="AC2" s="8" t="s">
        <v>206</v>
      </c>
      <c r="AD2" s="8" t="s">
        <v>4</v>
      </c>
      <c r="AE2" s="8" t="s">
        <v>3</v>
      </c>
      <c r="AF2" s="8" t="s">
        <v>207</v>
      </c>
      <c r="AG2" s="8" t="s">
        <v>208</v>
      </c>
      <c r="AH2" s="8" t="s">
        <v>209</v>
      </c>
      <c r="AI2" s="8" t="s">
        <v>210</v>
      </c>
      <c r="AJ2" s="8" t="s">
        <v>211</v>
      </c>
      <c r="AK2" s="8" t="s">
        <v>212</v>
      </c>
      <c r="AL2" s="8" t="s">
        <v>12</v>
      </c>
      <c r="AM2" s="8" t="s">
        <v>213</v>
      </c>
      <c r="AN2" s="8" t="s">
        <v>10</v>
      </c>
      <c r="AO2" s="8" t="s">
        <v>205</v>
      </c>
      <c r="AP2" s="8" t="s">
        <v>206</v>
      </c>
      <c r="AQ2" s="8" t="s">
        <v>4</v>
      </c>
      <c r="AR2" s="8" t="s">
        <v>3</v>
      </c>
      <c r="AS2" s="8" t="s">
        <v>207</v>
      </c>
      <c r="AT2" s="8" t="s">
        <v>208</v>
      </c>
      <c r="AU2" s="8" t="s">
        <v>209</v>
      </c>
      <c r="AV2" s="8" t="s">
        <v>210</v>
      </c>
      <c r="AW2" s="8" t="s">
        <v>211</v>
      </c>
      <c r="AX2" s="8" t="s">
        <v>212</v>
      </c>
      <c r="AY2" s="8" t="s">
        <v>12</v>
      </c>
      <c r="AZ2" s="8" t="s">
        <v>213</v>
      </c>
      <c r="BA2" s="8" t="s">
        <v>10</v>
      </c>
      <c r="BB2" s="7" t="s">
        <v>205</v>
      </c>
      <c r="BC2" s="7" t="s">
        <v>206</v>
      </c>
      <c r="BD2" s="7" t="s">
        <v>4</v>
      </c>
      <c r="BE2" s="7" t="s">
        <v>3</v>
      </c>
      <c r="BF2" s="7" t="s">
        <v>207</v>
      </c>
      <c r="BG2" s="7" t="s">
        <v>208</v>
      </c>
      <c r="BH2" s="7" t="s">
        <v>209</v>
      </c>
      <c r="BI2" s="7" t="s">
        <v>210</v>
      </c>
      <c r="BJ2" s="7" t="s">
        <v>211</v>
      </c>
      <c r="BK2" s="7" t="s">
        <v>212</v>
      </c>
      <c r="BL2" s="7" t="s">
        <v>12</v>
      </c>
      <c r="BM2" s="7" t="s">
        <v>213</v>
      </c>
      <c r="BN2" s="7" t="s">
        <v>10</v>
      </c>
    </row>
    <row r="3" s="1" customFormat="1" spans="1:66">
      <c r="A3" s="9" t="s">
        <v>14</v>
      </c>
      <c r="B3" s="9">
        <v>665643862.5</v>
      </c>
      <c r="C3" s="9">
        <v>39611415</v>
      </c>
      <c r="D3" s="9">
        <v>39647658.59</v>
      </c>
      <c r="E3" s="9">
        <v>57085790.48</v>
      </c>
      <c r="F3" s="9">
        <v>36902590.77</v>
      </c>
      <c r="G3" s="10">
        <v>0.947440064622731</v>
      </c>
      <c r="H3" s="10">
        <v>0.576880534065822</v>
      </c>
      <c r="I3" s="10">
        <v>0.0995834168150205</v>
      </c>
      <c r="J3" s="10"/>
      <c r="K3" s="11"/>
      <c r="L3" s="11"/>
      <c r="M3" s="11"/>
      <c r="N3" s="11"/>
      <c r="O3" s="9">
        <v>660337244.3</v>
      </c>
      <c r="P3" s="9">
        <v>40019005.02</v>
      </c>
      <c r="Q3" s="9">
        <v>38581657.05</v>
      </c>
      <c r="R3" s="9">
        <v>62454084.24</v>
      </c>
      <c r="S3" s="9">
        <v>39330421</v>
      </c>
      <c r="T3" s="10">
        <v>0.947440064622731</v>
      </c>
      <c r="U3" s="10">
        <v>0.576880534065822</v>
      </c>
      <c r="V3" s="10">
        <v>0.0995834168150205</v>
      </c>
      <c r="W3" s="10"/>
      <c r="X3" s="11"/>
      <c r="Y3" s="11"/>
      <c r="Z3" s="11"/>
      <c r="AA3" s="11"/>
      <c r="AB3" s="9">
        <v>640067891.63</v>
      </c>
      <c r="AC3" s="9">
        <v>40192861.63</v>
      </c>
      <c r="AD3" s="9">
        <v>48925687.56</v>
      </c>
      <c r="AE3" s="9">
        <v>61140172.28</v>
      </c>
      <c r="AF3" s="9">
        <v>40171322.75</v>
      </c>
      <c r="AG3" s="10">
        <v>0.932068886559477</v>
      </c>
      <c r="AH3" s="10">
        <v>0.579247552088956</v>
      </c>
      <c r="AI3" s="10">
        <v>0.0999302491285454</v>
      </c>
      <c r="AJ3" s="10"/>
      <c r="AK3" s="11"/>
      <c r="AL3" s="11"/>
      <c r="AM3" s="11"/>
      <c r="AN3" s="11"/>
      <c r="AO3" s="9">
        <v>672970450.52</v>
      </c>
      <c r="AP3" s="9">
        <v>42368274.13</v>
      </c>
      <c r="AQ3" s="9">
        <v>51692181.12</v>
      </c>
      <c r="AR3" s="9">
        <v>60555793.44</v>
      </c>
      <c r="AS3" s="9">
        <v>38722129.57</v>
      </c>
      <c r="AT3" s="10">
        <v>0.848282888865281</v>
      </c>
      <c r="AU3" s="10">
        <v>0.546723492240106</v>
      </c>
      <c r="AV3" s="10">
        <v>0.100806548913257</v>
      </c>
      <c r="AW3" s="10"/>
      <c r="AX3" s="11"/>
      <c r="AY3" s="11"/>
      <c r="AZ3" s="11"/>
      <c r="BA3" s="11"/>
      <c r="BB3" s="9">
        <f t="shared" ref="BB3:BF3" si="0">SUM(B3,O3,)</f>
        <v>1325981106.8</v>
      </c>
      <c r="BC3" s="9">
        <f t="shared" si="0"/>
        <v>79630420.02</v>
      </c>
      <c r="BD3" s="9">
        <f t="shared" si="0"/>
        <v>78229315.64</v>
      </c>
      <c r="BE3" s="9">
        <f t="shared" si="0"/>
        <v>119539874.72</v>
      </c>
      <c r="BF3" s="9">
        <f t="shared" si="0"/>
        <v>76233011.77</v>
      </c>
      <c r="BG3" s="10">
        <f t="shared" ref="BG3:BI3" si="1">AVERAGE(G3,T3,AT3,AG3)</f>
        <v>0.918807976167555</v>
      </c>
      <c r="BH3" s="10">
        <f t="shared" si="1"/>
        <v>0.569933028115177</v>
      </c>
      <c r="BI3" s="10">
        <f t="shared" si="1"/>
        <v>0.0999759079179607</v>
      </c>
      <c r="BJ3" s="11"/>
      <c r="BK3" s="11"/>
      <c r="BL3" s="11"/>
      <c r="BM3" s="11"/>
      <c r="BN3" s="11"/>
    </row>
    <row r="4" s="1" customFormat="1" spans="1:66">
      <c r="A4" s="9" t="s">
        <v>15</v>
      </c>
      <c r="B4" s="9">
        <v>563842447.17</v>
      </c>
      <c r="C4" s="9">
        <v>33203381.1</v>
      </c>
      <c r="D4" s="9">
        <v>38821991.8</v>
      </c>
      <c r="E4" s="9">
        <v>35372451.18</v>
      </c>
      <c r="F4" s="9">
        <v>31695112.73</v>
      </c>
      <c r="G4" s="10">
        <v>1.01169357109736</v>
      </c>
      <c r="H4" s="10">
        <v>0.942156529203731</v>
      </c>
      <c r="I4" s="10">
        <v>0.0700520358592541</v>
      </c>
      <c r="J4" s="10"/>
      <c r="K4" s="11"/>
      <c r="L4" s="11"/>
      <c r="M4" s="11"/>
      <c r="N4" s="11"/>
      <c r="O4" s="9">
        <v>644596418.28</v>
      </c>
      <c r="P4" s="9">
        <v>37014428.64</v>
      </c>
      <c r="Q4" s="9">
        <v>39016245.36</v>
      </c>
      <c r="R4" s="9">
        <v>41414679.64</v>
      </c>
      <c r="S4" s="9">
        <v>38583836.07</v>
      </c>
      <c r="T4" s="10">
        <v>1.01169357109736</v>
      </c>
      <c r="U4" s="10">
        <v>0.942156529203731</v>
      </c>
      <c r="V4" s="10">
        <v>0.0700520358592541</v>
      </c>
      <c r="W4" s="10"/>
      <c r="X4" s="11"/>
      <c r="Y4" s="11"/>
      <c r="Z4" s="11"/>
      <c r="AA4" s="11"/>
      <c r="AB4" s="9">
        <v>614858324.71</v>
      </c>
      <c r="AC4" s="9">
        <v>34307026.49</v>
      </c>
      <c r="AD4" s="9">
        <v>47877543.71</v>
      </c>
      <c r="AE4" s="9">
        <v>36463311.82</v>
      </c>
      <c r="AF4" s="9">
        <v>34395328.27</v>
      </c>
      <c r="AG4" s="10">
        <v>1.01452810158648</v>
      </c>
      <c r="AH4" s="10">
        <v>0.957559664180616</v>
      </c>
      <c r="AI4" s="10">
        <v>0.0610637969086859</v>
      </c>
      <c r="AJ4" s="10"/>
      <c r="AK4" s="11"/>
      <c r="AL4" s="11"/>
      <c r="AM4" s="11"/>
      <c r="AN4" s="11"/>
      <c r="AO4" s="9">
        <v>643981718</v>
      </c>
      <c r="AP4" s="9">
        <v>35390160.17</v>
      </c>
      <c r="AQ4" s="9">
        <v>40226664.29</v>
      </c>
      <c r="AR4" s="9">
        <v>38976825.5</v>
      </c>
      <c r="AS4" s="9">
        <v>34015712.77</v>
      </c>
      <c r="AT4" s="10">
        <v>0.960252070255307</v>
      </c>
      <c r="AU4" s="10">
        <v>0.900170241878509</v>
      </c>
      <c r="AV4" s="10">
        <v>0.0601791469220366</v>
      </c>
      <c r="AW4" s="10"/>
      <c r="AX4" s="11"/>
      <c r="AY4" s="11"/>
      <c r="AZ4" s="11"/>
      <c r="BA4" s="11"/>
      <c r="BB4" s="9">
        <f t="shared" ref="BB4:BF4" si="2">SUM(B4,O4,)</f>
        <v>1208438865.45</v>
      </c>
      <c r="BC4" s="9">
        <f t="shared" si="2"/>
        <v>70217809.7399999</v>
      </c>
      <c r="BD4" s="9">
        <f t="shared" si="2"/>
        <v>77838237.16</v>
      </c>
      <c r="BE4" s="9">
        <f t="shared" si="2"/>
        <v>76787130.8199999</v>
      </c>
      <c r="BF4" s="9">
        <f t="shared" si="2"/>
        <v>70278948.8</v>
      </c>
      <c r="BG4" s="10">
        <f t="shared" ref="BG4:BI4" si="3">AVERAGE(G4,T4,AT4,AG4)</f>
        <v>0.999541828509127</v>
      </c>
      <c r="BH4" s="10">
        <f t="shared" si="3"/>
        <v>0.935510741116647</v>
      </c>
      <c r="BI4" s="10">
        <f t="shared" si="3"/>
        <v>0.0653367538873077</v>
      </c>
      <c r="BJ4" s="11"/>
      <c r="BK4" s="11"/>
      <c r="BL4" s="11"/>
      <c r="BM4" s="11"/>
      <c r="BN4" s="11"/>
    </row>
    <row r="5" s="1" customFormat="1" spans="1:66">
      <c r="A5" s="12" t="s">
        <v>16</v>
      </c>
      <c r="B5" s="12">
        <v>1229486309.67</v>
      </c>
      <c r="C5" s="12">
        <v>72814796.1</v>
      </c>
      <c r="D5" s="12">
        <v>78469650.39</v>
      </c>
      <c r="E5" s="12">
        <v>92458241.66</v>
      </c>
      <c r="F5" s="12">
        <v>68597703.5</v>
      </c>
      <c r="G5" s="13">
        <v>0.979805108717904</v>
      </c>
      <c r="H5" s="13">
        <v>0.721174234888603</v>
      </c>
      <c r="I5" s="13">
        <v>0.0852905784269357</v>
      </c>
      <c r="J5" s="13"/>
      <c r="K5" s="11"/>
      <c r="L5" s="11"/>
      <c r="M5" s="11"/>
      <c r="N5" s="11"/>
      <c r="O5" s="12">
        <v>1304933662.58</v>
      </c>
      <c r="P5" s="12">
        <v>77033433.66</v>
      </c>
      <c r="Q5" s="12">
        <v>77597902.41</v>
      </c>
      <c r="R5" s="12">
        <v>103868763.88</v>
      </c>
      <c r="S5" s="12">
        <v>77914257.07</v>
      </c>
      <c r="T5" s="13">
        <v>0.979805108717904</v>
      </c>
      <c r="U5" s="13">
        <v>0.721174234888603</v>
      </c>
      <c r="V5" s="13">
        <v>0.0852905784269357</v>
      </c>
      <c r="W5" s="13"/>
      <c r="X5" s="11"/>
      <c r="Y5" s="11"/>
      <c r="Z5" s="11"/>
      <c r="AA5" s="11"/>
      <c r="AB5" s="12">
        <v>1254926216.34</v>
      </c>
      <c r="AC5" s="12">
        <v>74499888.12</v>
      </c>
      <c r="AD5" s="12">
        <v>96803231.27</v>
      </c>
      <c r="AE5" s="12">
        <v>97603484.0999999</v>
      </c>
      <c r="AF5" s="12">
        <v>74566651.02</v>
      </c>
      <c r="AG5" s="13">
        <v>0.969219843204034</v>
      </c>
      <c r="AH5" s="13">
        <v>0.707679611496779</v>
      </c>
      <c r="AI5" s="13">
        <v>0.0817723154841173</v>
      </c>
      <c r="AJ5" s="13"/>
      <c r="AK5" s="11"/>
      <c r="AL5" s="11"/>
      <c r="AM5" s="11"/>
      <c r="AN5" s="11"/>
      <c r="AO5" s="12">
        <v>1316952168.52</v>
      </c>
      <c r="AP5" s="12">
        <v>77758434.3</v>
      </c>
      <c r="AQ5" s="12">
        <v>91918845.41</v>
      </c>
      <c r="AR5" s="12">
        <v>99532618.94</v>
      </c>
      <c r="AS5" s="12">
        <v>72737842.34</v>
      </c>
      <c r="AT5" s="13">
        <v>0.901815436668912</v>
      </c>
      <c r="AU5" s="13">
        <v>0.666250241680344</v>
      </c>
      <c r="AV5" s="13">
        <v>0.0811451291964974</v>
      </c>
      <c r="AW5" s="13"/>
      <c r="AX5" s="11"/>
      <c r="AY5" s="11"/>
      <c r="AZ5" s="11"/>
      <c r="BA5" s="11"/>
      <c r="BB5" s="12">
        <v>1229486309.67</v>
      </c>
      <c r="BC5" s="12">
        <v>72814796.1</v>
      </c>
      <c r="BD5" s="12">
        <v>78469650.39</v>
      </c>
      <c r="BE5" s="12">
        <v>92458241.66</v>
      </c>
      <c r="BF5" s="12">
        <v>68597703.5</v>
      </c>
      <c r="BG5" s="13">
        <v>0.979805108717904</v>
      </c>
      <c r="BH5" s="13">
        <v>0.721174234888603</v>
      </c>
      <c r="BI5" s="13">
        <v>0.0852905784269357</v>
      </c>
      <c r="BJ5" s="11"/>
      <c r="BK5" s="11"/>
      <c r="BL5" s="11"/>
      <c r="BM5" s="11"/>
      <c r="BN5" s="11"/>
    </row>
    <row r="6" s="1" customFormat="1" spans="1:66">
      <c r="A6" s="9" t="s">
        <v>17</v>
      </c>
      <c r="B6" s="9">
        <v>633068092.65</v>
      </c>
      <c r="C6" s="9">
        <v>39285760.85</v>
      </c>
      <c r="D6" s="9">
        <v>32528899.12</v>
      </c>
      <c r="E6" s="9">
        <v>47619869.96</v>
      </c>
      <c r="F6" s="9">
        <v>36771633.35</v>
      </c>
      <c r="G6" s="10">
        <v>0.935544213682845</v>
      </c>
      <c r="H6" s="10">
        <v>0.738530695746566</v>
      </c>
      <c r="I6" s="10">
        <v>0.0823649407741023</v>
      </c>
      <c r="J6" s="10"/>
      <c r="K6" s="11"/>
      <c r="L6" s="11"/>
      <c r="M6" s="11"/>
      <c r="N6" s="11"/>
      <c r="O6" s="9">
        <v>621537824.2</v>
      </c>
      <c r="P6" s="9">
        <v>39181428.45</v>
      </c>
      <c r="Q6" s="9">
        <v>35031675.6</v>
      </c>
      <c r="R6" s="9">
        <v>49424091.96</v>
      </c>
      <c r="S6" s="9">
        <v>37126366.08</v>
      </c>
      <c r="T6" s="10">
        <v>0.935544213682845</v>
      </c>
      <c r="U6" s="10">
        <v>0.738530695746566</v>
      </c>
      <c r="V6" s="10">
        <v>0.0823649407741023</v>
      </c>
      <c r="W6" s="10"/>
      <c r="X6" s="11"/>
      <c r="Y6" s="11"/>
      <c r="Z6" s="11"/>
      <c r="AA6" s="11"/>
      <c r="AB6" s="9">
        <v>591000296.69</v>
      </c>
      <c r="AC6" s="9">
        <v>38300816.02</v>
      </c>
      <c r="AD6" s="9">
        <v>43041700.55</v>
      </c>
      <c r="AE6" s="9">
        <v>48627137.8</v>
      </c>
      <c r="AF6" s="9">
        <v>36910647.5</v>
      </c>
      <c r="AG6" s="10">
        <v>0.953710573103282</v>
      </c>
      <c r="AH6" s="10">
        <v>0.737726996209769</v>
      </c>
      <c r="AI6" s="10">
        <v>0.0862257595109311</v>
      </c>
      <c r="AJ6" s="10"/>
      <c r="AK6" s="11"/>
      <c r="AL6" s="11"/>
      <c r="AM6" s="11"/>
      <c r="AN6" s="11"/>
      <c r="AO6" s="9">
        <v>595581044.96</v>
      </c>
      <c r="AP6" s="9">
        <v>39419507.02</v>
      </c>
      <c r="AQ6" s="9">
        <v>48182109.63</v>
      </c>
      <c r="AR6" s="9">
        <v>50549674.37</v>
      </c>
      <c r="AS6" s="9">
        <v>37564166.67</v>
      </c>
      <c r="AT6" s="10">
        <v>0.907044502743847</v>
      </c>
      <c r="AU6" s="10">
        <v>0.699399662699305</v>
      </c>
      <c r="AV6" s="10">
        <v>0.0878519901787946</v>
      </c>
      <c r="AW6" s="10"/>
      <c r="AX6" s="11"/>
      <c r="AY6" s="11"/>
      <c r="AZ6" s="11"/>
      <c r="BA6" s="11"/>
      <c r="BB6" s="9">
        <f t="shared" ref="BB6:BF6" si="4">SUM(B6,O6,)</f>
        <v>1254605916.85</v>
      </c>
      <c r="BC6" s="9">
        <f t="shared" si="4"/>
        <v>78467189.3</v>
      </c>
      <c r="BD6" s="9">
        <f t="shared" si="4"/>
        <v>67560574.72</v>
      </c>
      <c r="BE6" s="9">
        <f t="shared" si="4"/>
        <v>97043961.92</v>
      </c>
      <c r="BF6" s="9">
        <f t="shared" si="4"/>
        <v>73897999.43</v>
      </c>
      <c r="BG6" s="10">
        <f t="shared" ref="BG6:BI6" si="5">AVERAGE(G6,T6,AT6,AG6)</f>
        <v>0.932960875803205</v>
      </c>
      <c r="BH6" s="10">
        <f t="shared" si="5"/>
        <v>0.728547012600552</v>
      </c>
      <c r="BI6" s="10">
        <f t="shared" si="5"/>
        <v>0.0847019078094825</v>
      </c>
      <c r="BJ6" s="11"/>
      <c r="BK6" s="11"/>
      <c r="BL6" s="11"/>
      <c r="BM6" s="11"/>
      <c r="BN6" s="11"/>
    </row>
    <row r="7" s="1" customFormat="1" spans="1:66">
      <c r="A7" s="9" t="s">
        <v>18</v>
      </c>
      <c r="B7" s="9">
        <v>543913784.69</v>
      </c>
      <c r="C7" s="9">
        <v>39558947.99</v>
      </c>
      <c r="D7" s="9">
        <v>44725892.32</v>
      </c>
      <c r="E7" s="9">
        <v>54059229.05</v>
      </c>
      <c r="F7" s="9">
        <v>37569470.41</v>
      </c>
      <c r="G7" s="10">
        <v>0.955468732101503</v>
      </c>
      <c r="H7" s="10">
        <v>0.756919782431387</v>
      </c>
      <c r="I7" s="10">
        <v>0.0967216539087138</v>
      </c>
      <c r="J7" s="10"/>
      <c r="K7" s="11"/>
      <c r="L7" s="11"/>
      <c r="M7" s="11"/>
      <c r="N7" s="11"/>
      <c r="O7" s="9">
        <v>563316222.96</v>
      </c>
      <c r="P7" s="9">
        <v>39740785.04</v>
      </c>
      <c r="Q7" s="9">
        <v>34917570.99</v>
      </c>
      <c r="R7" s="9">
        <v>54641733.13</v>
      </c>
      <c r="S7" s="9">
        <v>39309374.79</v>
      </c>
      <c r="T7" s="10">
        <v>0.955468732101503</v>
      </c>
      <c r="U7" s="10">
        <v>0.756919782431387</v>
      </c>
      <c r="V7" s="10">
        <v>0.0967216539087138</v>
      </c>
      <c r="W7" s="10"/>
      <c r="X7" s="11"/>
      <c r="Y7" s="11"/>
      <c r="Z7" s="11"/>
      <c r="AA7" s="11"/>
      <c r="AB7" s="9">
        <v>538663737.85</v>
      </c>
      <c r="AC7" s="9">
        <v>39310253.12</v>
      </c>
      <c r="AD7" s="9">
        <v>45441944.97</v>
      </c>
      <c r="AE7" s="9">
        <v>54804305.55</v>
      </c>
      <c r="AF7" s="9">
        <v>38230884.7</v>
      </c>
      <c r="AG7" s="10">
        <v>0.975545784922203</v>
      </c>
      <c r="AH7" s="10">
        <v>0.750805336783911</v>
      </c>
      <c r="AI7" s="10">
        <v>0.101664271381169</v>
      </c>
      <c r="AJ7" s="10"/>
      <c r="AK7" s="11"/>
      <c r="AL7" s="11"/>
      <c r="AM7" s="11"/>
      <c r="AN7" s="11"/>
      <c r="AO7" s="9">
        <v>567697436.11</v>
      </c>
      <c r="AP7" s="9">
        <v>39505198.43</v>
      </c>
      <c r="AQ7" s="9">
        <v>43003915.34</v>
      </c>
      <c r="AR7" s="9">
        <v>53168411.46</v>
      </c>
      <c r="AS7" s="9">
        <v>35962119.56</v>
      </c>
      <c r="AT7" s="10">
        <v>0.883204840643858</v>
      </c>
      <c r="AU7" s="10">
        <v>0.70676297477614</v>
      </c>
      <c r="AV7" s="10">
        <v>0.089875020830658</v>
      </c>
      <c r="AW7" s="10"/>
      <c r="AX7" s="11"/>
      <c r="AY7" s="11"/>
      <c r="AZ7" s="11"/>
      <c r="BA7" s="11"/>
      <c r="BB7" s="9">
        <f t="shared" ref="BB7:BF7" si="6">SUM(B7,O7,)</f>
        <v>1107230007.65</v>
      </c>
      <c r="BC7" s="9">
        <f t="shared" si="6"/>
        <v>79299733.03</v>
      </c>
      <c r="BD7" s="9">
        <f t="shared" si="6"/>
        <v>79643463.31</v>
      </c>
      <c r="BE7" s="9">
        <f t="shared" si="6"/>
        <v>108700962.18</v>
      </c>
      <c r="BF7" s="9">
        <f t="shared" si="6"/>
        <v>76878845.2</v>
      </c>
      <c r="BG7" s="10">
        <f t="shared" ref="BG7:BI7" si="7">AVERAGE(G7,T7,AT7,AG7)</f>
        <v>0.942422022442267</v>
      </c>
      <c r="BH7" s="10">
        <f t="shared" si="7"/>
        <v>0.742851969105706</v>
      </c>
      <c r="BI7" s="10">
        <f t="shared" si="7"/>
        <v>0.0962456500073136</v>
      </c>
      <c r="BJ7" s="11"/>
      <c r="BK7" s="11"/>
      <c r="BL7" s="11"/>
      <c r="BM7" s="11"/>
      <c r="BN7" s="11"/>
    </row>
    <row r="8" s="1" customFormat="1" spans="1:66">
      <c r="A8" s="12" t="s">
        <v>19</v>
      </c>
      <c r="B8" s="12">
        <v>1176981877.34</v>
      </c>
      <c r="C8" s="12">
        <v>78844708.84</v>
      </c>
      <c r="D8" s="12">
        <v>77254791.44</v>
      </c>
      <c r="E8" s="12">
        <v>101679099.01</v>
      </c>
      <c r="F8" s="12">
        <v>74341103.76</v>
      </c>
      <c r="G8" s="13">
        <v>0.946490997971066</v>
      </c>
      <c r="H8" s="13">
        <v>0.736836737982151</v>
      </c>
      <c r="I8" s="13">
        <v>0.0889178700201873</v>
      </c>
      <c r="J8" s="13"/>
      <c r="K8" s="11"/>
      <c r="L8" s="11"/>
      <c r="M8" s="11"/>
      <c r="N8" s="11"/>
      <c r="O8" s="12">
        <v>1184854047.16</v>
      </c>
      <c r="P8" s="12">
        <v>78922213.49</v>
      </c>
      <c r="Q8" s="12">
        <v>69949246.59</v>
      </c>
      <c r="R8" s="12">
        <v>104065825.09</v>
      </c>
      <c r="S8" s="12">
        <v>76435740.87</v>
      </c>
      <c r="T8" s="13">
        <v>0.946490997971066</v>
      </c>
      <c r="U8" s="13">
        <v>0.736836737982151</v>
      </c>
      <c r="V8" s="13">
        <v>0.0889178700201873</v>
      </c>
      <c r="W8" s="13"/>
      <c r="X8" s="11"/>
      <c r="Y8" s="11"/>
      <c r="Z8" s="11"/>
      <c r="AA8" s="11"/>
      <c r="AB8" s="12">
        <v>1129664034.54</v>
      </c>
      <c r="AC8" s="12">
        <v>77611069.14</v>
      </c>
      <c r="AD8" s="12">
        <v>88483645.52</v>
      </c>
      <c r="AE8" s="12">
        <v>103431443.35</v>
      </c>
      <c r="AF8" s="12">
        <v>75141532.2</v>
      </c>
      <c r="AG8" s="13">
        <v>0.960791540329156</v>
      </c>
      <c r="AH8" s="13">
        <v>0.727349616756221</v>
      </c>
      <c r="AI8" s="13">
        <v>0.0934423303345588</v>
      </c>
      <c r="AJ8" s="13"/>
      <c r="AK8" s="11"/>
      <c r="AL8" s="11"/>
      <c r="AM8" s="11"/>
      <c r="AN8" s="11"/>
      <c r="AO8" s="12">
        <v>1163278481.07</v>
      </c>
      <c r="AP8" s="12">
        <v>78924705.45</v>
      </c>
      <c r="AQ8" s="12">
        <v>91186024.97</v>
      </c>
      <c r="AR8" s="12">
        <v>103718085.83</v>
      </c>
      <c r="AS8" s="12">
        <v>73526286.23</v>
      </c>
      <c r="AT8" s="13">
        <v>0.888110826048741</v>
      </c>
      <c r="AU8" s="13">
        <v>0.679633854461246</v>
      </c>
      <c r="AV8" s="13">
        <v>0.0901020650071911</v>
      </c>
      <c r="AW8" s="13"/>
      <c r="AX8" s="11"/>
      <c r="AY8" s="11"/>
      <c r="AZ8" s="11"/>
      <c r="BA8" s="11"/>
      <c r="BB8" s="12">
        <v>1176981877.34</v>
      </c>
      <c r="BC8" s="12">
        <v>78844708.84</v>
      </c>
      <c r="BD8" s="12">
        <v>77254791.44</v>
      </c>
      <c r="BE8" s="12">
        <v>101679099.01</v>
      </c>
      <c r="BF8" s="12">
        <v>74341103.76</v>
      </c>
      <c r="BG8" s="13">
        <v>0.946490997971066</v>
      </c>
      <c r="BH8" s="13">
        <v>0.736836737982151</v>
      </c>
      <c r="BI8" s="13">
        <v>0.0889178700201873</v>
      </c>
      <c r="BJ8" s="11"/>
      <c r="BK8" s="11"/>
      <c r="BL8" s="11"/>
      <c r="BM8" s="11"/>
      <c r="BN8" s="11"/>
    </row>
    <row r="9" s="1" customFormat="1" spans="1:66">
      <c r="A9" s="9" t="s">
        <v>21</v>
      </c>
      <c r="B9" s="9">
        <v>575633367.05</v>
      </c>
      <c r="C9" s="9">
        <v>36821121.38</v>
      </c>
      <c r="D9" s="9">
        <v>41200692.05</v>
      </c>
      <c r="E9" s="9">
        <v>41340901.8</v>
      </c>
      <c r="F9" s="9">
        <v>34816413.24</v>
      </c>
      <c r="G9" s="10">
        <v>0.998856733212492</v>
      </c>
      <c r="H9" s="10">
        <v>0.762309658308261</v>
      </c>
      <c r="I9" s="10">
        <v>0.0882332100274563</v>
      </c>
      <c r="J9" s="10"/>
      <c r="K9" s="11"/>
      <c r="L9" s="11"/>
      <c r="M9" s="11"/>
      <c r="N9" s="11"/>
      <c r="O9" s="9">
        <v>560568500.52</v>
      </c>
      <c r="P9" s="9">
        <v>36781478.44</v>
      </c>
      <c r="Q9" s="9">
        <v>36538719.18</v>
      </c>
      <c r="R9" s="9">
        <v>42764390.54</v>
      </c>
      <c r="S9" s="9">
        <v>36867422.38</v>
      </c>
      <c r="T9" s="10">
        <v>0.998856733212492</v>
      </c>
      <c r="U9" s="10">
        <v>0.762309658308261</v>
      </c>
      <c r="V9" s="10">
        <v>0.0882332100274563</v>
      </c>
      <c r="W9" s="10"/>
      <c r="X9" s="11"/>
      <c r="Y9" s="11"/>
      <c r="Z9" s="11"/>
      <c r="AA9" s="11"/>
      <c r="AB9" s="9">
        <v>545591250.86</v>
      </c>
      <c r="AC9" s="9">
        <v>36795809.02</v>
      </c>
      <c r="AD9" s="9">
        <v>58562474.6</v>
      </c>
      <c r="AE9" s="9">
        <v>42050776.31</v>
      </c>
      <c r="AF9" s="9">
        <v>36429256.46</v>
      </c>
      <c r="AG9" s="10">
        <v>0.984424831993498</v>
      </c>
      <c r="AH9" s="10">
        <v>0.774417640821044</v>
      </c>
      <c r="AI9" s="10">
        <v>0.0870678795846397</v>
      </c>
      <c r="AJ9" s="10"/>
      <c r="AK9" s="11"/>
      <c r="AL9" s="11"/>
      <c r="AM9" s="11"/>
      <c r="AN9" s="11"/>
      <c r="AO9" s="9">
        <v>563018131.25</v>
      </c>
      <c r="AP9" s="9">
        <v>37669426.12</v>
      </c>
      <c r="AQ9" s="9">
        <v>40309259.19</v>
      </c>
      <c r="AR9" s="9">
        <v>42860550.49</v>
      </c>
      <c r="AS9" s="9">
        <v>35156946.54</v>
      </c>
      <c r="AT9" s="10">
        <v>0.935855199363427</v>
      </c>
      <c r="AU9" s="10">
        <v>0.751672037869233</v>
      </c>
      <c r="AV9" s="10">
        <v>0.0838849586877093</v>
      </c>
      <c r="AW9" s="10"/>
      <c r="AX9" s="11"/>
      <c r="AY9" s="11"/>
      <c r="AZ9" s="11"/>
      <c r="BA9" s="11"/>
      <c r="BB9" s="9">
        <f t="shared" ref="BB9:BF9" si="8">SUM(B9,O9,)</f>
        <v>1136201867.57</v>
      </c>
      <c r="BC9" s="9">
        <f t="shared" si="8"/>
        <v>73602599.82</v>
      </c>
      <c r="BD9" s="9">
        <f t="shared" si="8"/>
        <v>77739411.23</v>
      </c>
      <c r="BE9" s="9">
        <f t="shared" si="8"/>
        <v>84105292.34</v>
      </c>
      <c r="BF9" s="9">
        <f t="shared" si="8"/>
        <v>71683835.62</v>
      </c>
      <c r="BG9" s="10">
        <f t="shared" ref="BG9:BI9" si="9">AVERAGE(G9,T9,AT9,AG9)</f>
        <v>0.979498374445477</v>
      </c>
      <c r="BH9" s="10">
        <f t="shared" si="9"/>
        <v>0.7626772488267</v>
      </c>
      <c r="BI9" s="10">
        <f t="shared" si="9"/>
        <v>0.0868548145818154</v>
      </c>
      <c r="BJ9" s="11"/>
      <c r="BK9" s="11"/>
      <c r="BL9" s="11"/>
      <c r="BM9" s="11"/>
      <c r="BN9" s="11"/>
    </row>
    <row r="10" s="1" customFormat="1" spans="1:66">
      <c r="A10" s="9" t="s">
        <v>22</v>
      </c>
      <c r="B10" s="9">
        <v>453336950.82</v>
      </c>
      <c r="C10" s="9">
        <v>28360191.85</v>
      </c>
      <c r="D10" s="9">
        <v>31574328.51</v>
      </c>
      <c r="E10" s="9">
        <v>30281655.88</v>
      </c>
      <c r="F10" s="9">
        <v>27933167.97</v>
      </c>
      <c r="G10" s="10">
        <v>1.10493708041238</v>
      </c>
      <c r="H10" s="10">
        <v>0.960926683961095</v>
      </c>
      <c r="I10" s="10">
        <v>0.0678827609480371</v>
      </c>
      <c r="J10" s="10"/>
      <c r="K10" s="11"/>
      <c r="L10" s="11"/>
      <c r="M10" s="11"/>
      <c r="N10" s="11"/>
      <c r="O10" s="9">
        <v>468467938.75</v>
      </c>
      <c r="P10" s="9">
        <v>29637790.78</v>
      </c>
      <c r="Q10" s="9">
        <v>27821209.21</v>
      </c>
      <c r="R10" s="9">
        <v>32162767.32</v>
      </c>
      <c r="S10" s="9">
        <v>29828364.32</v>
      </c>
      <c r="T10" s="10">
        <v>1.10493708041238</v>
      </c>
      <c r="U10" s="10">
        <v>0.960926683961095</v>
      </c>
      <c r="V10" s="10">
        <v>0.0678827609480371</v>
      </c>
      <c r="W10" s="10"/>
      <c r="X10" s="11"/>
      <c r="Y10" s="11"/>
      <c r="Z10" s="11"/>
      <c r="AA10" s="11"/>
      <c r="AB10" s="9">
        <v>471052492.81</v>
      </c>
      <c r="AC10" s="9">
        <v>30790198.05</v>
      </c>
      <c r="AD10" s="9">
        <v>37200822.02</v>
      </c>
      <c r="AE10" s="9">
        <v>32837257.38</v>
      </c>
      <c r="AF10" s="9">
        <v>30302146.31</v>
      </c>
      <c r="AG10" s="10">
        <v>0.982509589215227</v>
      </c>
      <c r="AH10" s="10">
        <v>0.949962338875819</v>
      </c>
      <c r="AI10" s="10">
        <v>0.0644038437930101</v>
      </c>
      <c r="AJ10" s="10"/>
      <c r="AK10" s="11"/>
      <c r="AL10" s="11"/>
      <c r="AM10" s="11"/>
      <c r="AN10" s="11"/>
      <c r="AO10" s="9">
        <v>476603102.46</v>
      </c>
      <c r="AP10" s="9">
        <v>31608124.41</v>
      </c>
      <c r="AQ10" s="9">
        <v>37421941.59</v>
      </c>
      <c r="AR10" s="9">
        <v>34033240.31</v>
      </c>
      <c r="AS10" s="9">
        <v>29138121.61</v>
      </c>
      <c r="AT10" s="10">
        <v>0.76718080155623</v>
      </c>
      <c r="AU10" s="10">
        <v>0.726773224032312</v>
      </c>
      <c r="AV10" s="10">
        <v>0.064828272545544</v>
      </c>
      <c r="AW10" s="10"/>
      <c r="AX10" s="11"/>
      <c r="AY10" s="11"/>
      <c r="AZ10" s="11"/>
      <c r="BA10" s="11"/>
      <c r="BB10" s="9">
        <f t="shared" ref="BB10:BF10" si="10">SUM(B10,O10,)</f>
        <v>921804889.57</v>
      </c>
      <c r="BC10" s="9">
        <f t="shared" si="10"/>
        <v>57997982.63</v>
      </c>
      <c r="BD10" s="9">
        <f t="shared" si="10"/>
        <v>59395537.72</v>
      </c>
      <c r="BE10" s="9">
        <f t="shared" si="10"/>
        <v>62444423.2</v>
      </c>
      <c r="BF10" s="9">
        <f t="shared" si="10"/>
        <v>57761532.29</v>
      </c>
      <c r="BG10" s="10">
        <f t="shared" ref="BG10:BI10" si="11">AVERAGE(G10,T10,AT10,AG10)</f>
        <v>0.989891137899053</v>
      </c>
      <c r="BH10" s="10">
        <f t="shared" si="11"/>
        <v>0.89964723270758</v>
      </c>
      <c r="BI10" s="10">
        <f t="shared" si="11"/>
        <v>0.0662494095586571</v>
      </c>
      <c r="BJ10" s="11"/>
      <c r="BK10" s="11"/>
      <c r="BL10" s="11"/>
      <c r="BM10" s="11"/>
      <c r="BN10" s="11"/>
    </row>
    <row r="11" s="1" customFormat="1" spans="1:66">
      <c r="A11" s="9" t="s">
        <v>20</v>
      </c>
      <c r="B11" s="9">
        <v>285938571.45</v>
      </c>
      <c r="C11" s="9">
        <v>20639704.71</v>
      </c>
      <c r="D11" s="9">
        <v>20795797.98</v>
      </c>
      <c r="E11" s="9">
        <v>23737075.66</v>
      </c>
      <c r="F11" s="9">
        <v>19334091.33</v>
      </c>
      <c r="G11" s="10">
        <v>0.992627995007851</v>
      </c>
      <c r="H11" s="10">
        <v>0.839948700348185</v>
      </c>
      <c r="I11" s="10">
        <v>0.0802866772268224</v>
      </c>
      <c r="J11" s="10"/>
      <c r="K11" s="11"/>
      <c r="L11" s="11"/>
      <c r="M11" s="11"/>
      <c r="N11" s="11"/>
      <c r="O11" s="9">
        <v>287528556.32</v>
      </c>
      <c r="P11" s="9">
        <v>20522692.9</v>
      </c>
      <c r="Q11" s="9">
        <v>18747464.23</v>
      </c>
      <c r="R11" s="9">
        <v>24574124.71</v>
      </c>
      <c r="S11" s="9">
        <v>20638780.73</v>
      </c>
      <c r="T11" s="10">
        <v>0.992627995007851</v>
      </c>
      <c r="U11" s="10">
        <v>0.839948700348185</v>
      </c>
      <c r="V11" s="10">
        <v>0.0802866772268224</v>
      </c>
      <c r="W11" s="10"/>
      <c r="X11" s="11"/>
      <c r="Y11" s="11"/>
      <c r="Z11" s="11"/>
      <c r="AA11" s="11"/>
      <c r="AB11" s="9">
        <v>273499997.41</v>
      </c>
      <c r="AC11" s="9">
        <v>20054345.16</v>
      </c>
      <c r="AD11" s="9">
        <v>24344575.24</v>
      </c>
      <c r="AE11" s="9">
        <v>23634545.13</v>
      </c>
      <c r="AF11" s="9">
        <v>19758067.07</v>
      </c>
      <c r="AG11" s="10">
        <v>1.049059867613</v>
      </c>
      <c r="AH11" s="10">
        <v>0.883933315747695</v>
      </c>
      <c r="AI11" s="10">
        <v>0.0818270780812915</v>
      </c>
      <c r="AJ11" s="10"/>
      <c r="AK11" s="11"/>
      <c r="AL11" s="11"/>
      <c r="AM11" s="11"/>
      <c r="AN11" s="11"/>
      <c r="AO11" s="9">
        <v>278311633.31</v>
      </c>
      <c r="AP11" s="9">
        <v>20191881.71</v>
      </c>
      <c r="AQ11" s="9">
        <v>24185664.12</v>
      </c>
      <c r="AR11" s="9">
        <v>23856405.57</v>
      </c>
      <c r="AS11" s="9">
        <v>19075925.75</v>
      </c>
      <c r="AT11" s="10">
        <v>0.915967800390689</v>
      </c>
      <c r="AU11" s="10">
        <v>0.811819952644484</v>
      </c>
      <c r="AV11" s="10">
        <v>0.078689523048935</v>
      </c>
      <c r="AW11" s="10"/>
      <c r="AX11" s="11"/>
      <c r="AY11" s="11"/>
      <c r="AZ11" s="11"/>
      <c r="BA11" s="11"/>
      <c r="BB11" s="9">
        <f t="shared" ref="BB11:BF11" si="12">SUM(B11,O11,)</f>
        <v>573467127.77</v>
      </c>
      <c r="BC11" s="9">
        <f t="shared" si="12"/>
        <v>41162397.61</v>
      </c>
      <c r="BD11" s="9">
        <f t="shared" si="12"/>
        <v>39543262.21</v>
      </c>
      <c r="BE11" s="9">
        <f t="shared" si="12"/>
        <v>48311200.37</v>
      </c>
      <c r="BF11" s="9">
        <f t="shared" si="12"/>
        <v>39972872.06</v>
      </c>
      <c r="BG11" s="10">
        <f t="shared" ref="BG11:BI11" si="13">AVERAGE(G11,T11,AT11,AG11)</f>
        <v>0.987570914504848</v>
      </c>
      <c r="BH11" s="10">
        <f t="shared" si="13"/>
        <v>0.843912667272137</v>
      </c>
      <c r="BI11" s="10">
        <f t="shared" si="13"/>
        <v>0.0802724888959678</v>
      </c>
      <c r="BJ11" s="11"/>
      <c r="BK11" s="11"/>
      <c r="BL11" s="11"/>
      <c r="BM11" s="11"/>
      <c r="BN11" s="11"/>
    </row>
    <row r="12" s="1" customFormat="1" spans="1:66">
      <c r="A12" s="12" t="s">
        <v>23</v>
      </c>
      <c r="B12" s="12">
        <v>1314908889.32</v>
      </c>
      <c r="C12" s="12">
        <v>85821017.94</v>
      </c>
      <c r="D12" s="12">
        <v>93570818.5399999</v>
      </c>
      <c r="E12" s="12">
        <v>95359633.3399999</v>
      </c>
      <c r="F12" s="12">
        <v>82083672.5399999</v>
      </c>
      <c r="G12" s="13">
        <v>1.0267400005026</v>
      </c>
      <c r="H12" s="13">
        <v>0.829059178839788</v>
      </c>
      <c r="I12" s="13">
        <v>0.0795648100012991</v>
      </c>
      <c r="J12" s="13"/>
      <c r="K12" s="11"/>
      <c r="L12" s="11"/>
      <c r="M12" s="11"/>
      <c r="N12" s="11"/>
      <c r="O12" s="12">
        <v>1316564995.59</v>
      </c>
      <c r="P12" s="12">
        <v>86941962.12</v>
      </c>
      <c r="Q12" s="12">
        <v>83107392.62</v>
      </c>
      <c r="R12" s="12">
        <v>99501282.57</v>
      </c>
      <c r="S12" s="12">
        <v>87334567.43</v>
      </c>
      <c r="T12" s="13">
        <v>1.0267400005026</v>
      </c>
      <c r="U12" s="13">
        <v>0.829059178839788</v>
      </c>
      <c r="V12" s="13">
        <v>0.0795648100012991</v>
      </c>
      <c r="W12" s="13"/>
      <c r="X12" s="11"/>
      <c r="Y12" s="11"/>
      <c r="Z12" s="11"/>
      <c r="AA12" s="11"/>
      <c r="AB12" s="12">
        <v>1290143741.08</v>
      </c>
      <c r="AC12" s="12">
        <v>87640352.23</v>
      </c>
      <c r="AD12" s="12">
        <v>120107871.86</v>
      </c>
      <c r="AE12" s="12">
        <v>98522578.82</v>
      </c>
      <c r="AF12" s="12">
        <v>86489469.84</v>
      </c>
      <c r="AG12" s="13">
        <v>0.998458799697687</v>
      </c>
      <c r="AH12" s="13">
        <v>0.834459035429771</v>
      </c>
      <c r="AI12" s="13">
        <v>0.0789728131454633</v>
      </c>
      <c r="AJ12" s="13"/>
      <c r="AK12" s="11"/>
      <c r="AL12" s="11"/>
      <c r="AM12" s="11"/>
      <c r="AN12" s="11"/>
      <c r="AO12" s="12">
        <v>1317932867.02</v>
      </c>
      <c r="AP12" s="12">
        <v>89469432.2399999</v>
      </c>
      <c r="AQ12" s="12">
        <v>101916864.9</v>
      </c>
      <c r="AR12" s="12">
        <v>100750196.37</v>
      </c>
      <c r="AS12" s="12">
        <v>83370993.8999999</v>
      </c>
      <c r="AT12" s="13">
        <v>0.88771818364774</v>
      </c>
      <c r="AU12" s="13">
        <v>0.757582128831078</v>
      </c>
      <c r="AV12" s="13">
        <v>0.0771938043556461</v>
      </c>
      <c r="AW12" s="13"/>
      <c r="AX12" s="11"/>
      <c r="AY12" s="11"/>
      <c r="AZ12" s="11"/>
      <c r="BA12" s="11"/>
      <c r="BB12" s="12">
        <v>1314908889.32</v>
      </c>
      <c r="BC12" s="12">
        <v>85821017.94</v>
      </c>
      <c r="BD12" s="12">
        <v>93570818.5399999</v>
      </c>
      <c r="BE12" s="12">
        <v>95359633.3399999</v>
      </c>
      <c r="BF12" s="12">
        <v>82083672.5399999</v>
      </c>
      <c r="BG12" s="13">
        <v>1.0267400005026</v>
      </c>
      <c r="BH12" s="13">
        <v>0.829059178839788</v>
      </c>
      <c r="BI12" s="13">
        <v>0.0795648100012991</v>
      </c>
      <c r="BJ12" s="11"/>
      <c r="BK12" s="11"/>
      <c r="BL12" s="11"/>
      <c r="BM12" s="11"/>
      <c r="BN12" s="11"/>
    </row>
    <row r="13" s="1" customFormat="1" spans="1:66">
      <c r="A13" s="14" t="s">
        <v>24</v>
      </c>
      <c r="B13" s="14">
        <v>3721377076.33</v>
      </c>
      <c r="C13" s="14">
        <v>237480522.88</v>
      </c>
      <c r="D13" s="14">
        <v>249295260.37</v>
      </c>
      <c r="E13" s="14">
        <v>289496974.01</v>
      </c>
      <c r="F13" s="14">
        <v>225022479.8</v>
      </c>
      <c r="G13" s="15">
        <v>0.973425662214076</v>
      </c>
      <c r="H13" s="15">
        <v>0.759756546872455</v>
      </c>
      <c r="I13" s="15">
        <v>0.084817627886138</v>
      </c>
      <c r="J13" s="15"/>
      <c r="K13" s="11"/>
      <c r="L13" s="11"/>
      <c r="M13" s="11"/>
      <c r="N13" s="11"/>
      <c r="O13" s="14">
        <v>3806352705.33</v>
      </c>
      <c r="P13" s="14">
        <v>242897609.27</v>
      </c>
      <c r="Q13" s="14">
        <v>230654541.62</v>
      </c>
      <c r="R13" s="14">
        <v>307435871.54</v>
      </c>
      <c r="S13" s="14">
        <v>241684565.37</v>
      </c>
      <c r="T13" s="15">
        <v>0.973425662214076</v>
      </c>
      <c r="U13" s="15">
        <v>0.759756546872455</v>
      </c>
      <c r="V13" s="15">
        <v>0.084817627886138</v>
      </c>
      <c r="W13" s="15"/>
      <c r="X13" s="11"/>
      <c r="Y13" s="11"/>
      <c r="Z13" s="11"/>
      <c r="AA13" s="11"/>
      <c r="AB13" s="14">
        <v>3674733991.96</v>
      </c>
      <c r="AC13" s="14">
        <v>239751309.49</v>
      </c>
      <c r="AD13" s="14">
        <v>305394748.65</v>
      </c>
      <c r="AE13" s="14">
        <v>299557506.27</v>
      </c>
      <c r="AF13" s="14">
        <v>236197653.06</v>
      </c>
      <c r="AG13" s="15">
        <v>0.971344973364883</v>
      </c>
      <c r="AH13" s="15">
        <v>0.751241017975449</v>
      </c>
      <c r="AI13" s="15">
        <v>0.085085958163358</v>
      </c>
      <c r="AJ13" s="15"/>
      <c r="AK13" s="11"/>
      <c r="AL13" s="11"/>
      <c r="AM13" s="11"/>
      <c r="AN13" s="11"/>
      <c r="AO13" s="14">
        <v>3798163516.61</v>
      </c>
      <c r="AP13" s="14">
        <v>246152571.99</v>
      </c>
      <c r="AQ13" s="14">
        <v>285021735.28</v>
      </c>
      <c r="AR13" s="14">
        <v>304000901.14</v>
      </c>
      <c r="AS13" s="14">
        <v>229635122.47</v>
      </c>
      <c r="AT13" s="15">
        <v>0.891260271589142</v>
      </c>
      <c r="AU13" s="15">
        <v>0.697064034500083</v>
      </c>
      <c r="AV13" s="15">
        <v>0.0832646463680923</v>
      </c>
      <c r="AW13" s="15"/>
      <c r="AX13" s="11"/>
      <c r="AY13" s="11"/>
      <c r="AZ13" s="11"/>
      <c r="BA13" s="11"/>
      <c r="BB13" s="14">
        <v>3721377076.33</v>
      </c>
      <c r="BC13" s="14">
        <v>237480522.88</v>
      </c>
      <c r="BD13" s="14">
        <v>249295260.37</v>
      </c>
      <c r="BE13" s="14">
        <v>289496974.01</v>
      </c>
      <c r="BF13" s="14">
        <v>225022479.8</v>
      </c>
      <c r="BG13" s="15">
        <v>0.973425662214076</v>
      </c>
      <c r="BH13" s="15">
        <v>0.759756546872455</v>
      </c>
      <c r="BI13" s="15">
        <v>0.084817627886138</v>
      </c>
      <c r="BJ13" s="11"/>
      <c r="BK13" s="11"/>
      <c r="BL13" s="11"/>
      <c r="BM13" s="11"/>
      <c r="BN13" s="11"/>
    </row>
    <row r="14" s="1" customFormat="1" spans="1:66">
      <c r="A14" s="9" t="s">
        <v>27</v>
      </c>
      <c r="B14" s="9">
        <v>534580201.92</v>
      </c>
      <c r="C14" s="9">
        <v>27080575.24</v>
      </c>
      <c r="D14" s="9">
        <v>56002051.9</v>
      </c>
      <c r="E14" s="9">
        <v>33331942.92</v>
      </c>
      <c r="F14" s="9">
        <v>25952197.31</v>
      </c>
      <c r="G14" s="10">
        <v>1.01468901899419</v>
      </c>
      <c r="H14" s="10">
        <v>0.832481639919621</v>
      </c>
      <c r="I14" s="10">
        <v>0.0696489026619828</v>
      </c>
      <c r="J14" s="10"/>
      <c r="K14" s="11"/>
      <c r="L14" s="11"/>
      <c r="M14" s="11"/>
      <c r="N14" s="11"/>
      <c r="O14" s="9">
        <v>513359893.59</v>
      </c>
      <c r="P14" s="9">
        <v>27761856.51</v>
      </c>
      <c r="Q14" s="9">
        <v>61203433.8</v>
      </c>
      <c r="R14" s="9">
        <v>36442397.59</v>
      </c>
      <c r="S14" s="9">
        <v>28692857.31</v>
      </c>
      <c r="T14" s="10">
        <v>1.01468901899419</v>
      </c>
      <c r="U14" s="10">
        <v>0.832481639919621</v>
      </c>
      <c r="V14" s="10">
        <v>0.0696489026619828</v>
      </c>
      <c r="W14" s="10"/>
      <c r="X14" s="11"/>
      <c r="Y14" s="11"/>
      <c r="Z14" s="11"/>
      <c r="AA14" s="11"/>
      <c r="AB14" s="9">
        <v>457513283.07</v>
      </c>
      <c r="AC14" s="9">
        <v>27720849.67</v>
      </c>
      <c r="AD14" s="9">
        <v>37545798.3</v>
      </c>
      <c r="AE14" s="9">
        <v>35998639.83</v>
      </c>
      <c r="AF14" s="9">
        <v>27680652.08</v>
      </c>
      <c r="AG14" s="10">
        <v>0.981867179907185</v>
      </c>
      <c r="AH14" s="10">
        <v>0.812527808339205</v>
      </c>
      <c r="AI14" s="10">
        <v>0.0756933581801975</v>
      </c>
      <c r="AJ14" s="10"/>
      <c r="AK14" s="11"/>
      <c r="AL14" s="11"/>
      <c r="AM14" s="11"/>
      <c r="AN14" s="11"/>
      <c r="AO14" s="9">
        <v>463106245.56</v>
      </c>
      <c r="AP14" s="9">
        <v>27622703.44</v>
      </c>
      <c r="AQ14" s="9">
        <v>30174186.78</v>
      </c>
      <c r="AR14" s="9">
        <v>35920731.9</v>
      </c>
      <c r="AS14" s="9">
        <v>26572145.25</v>
      </c>
      <c r="AT14" s="10">
        <v>0.898490332445007</v>
      </c>
      <c r="AU14" s="10">
        <v>0.764063943598179</v>
      </c>
      <c r="AV14" s="10">
        <v>0.0740927157101264</v>
      </c>
      <c r="AW14" s="10"/>
      <c r="AX14" s="11"/>
      <c r="AY14" s="11"/>
      <c r="AZ14" s="11"/>
      <c r="BA14" s="11"/>
      <c r="BB14" s="9">
        <f t="shared" ref="BB14:BF14" si="14">SUM(B14,O14,)</f>
        <v>1047940095.51</v>
      </c>
      <c r="BC14" s="9">
        <f t="shared" si="14"/>
        <v>54842431.75</v>
      </c>
      <c r="BD14" s="9">
        <f t="shared" si="14"/>
        <v>117205485.7</v>
      </c>
      <c r="BE14" s="9">
        <f t="shared" si="14"/>
        <v>69774340.51</v>
      </c>
      <c r="BF14" s="9">
        <f t="shared" si="14"/>
        <v>54645054.62</v>
      </c>
      <c r="BG14" s="10">
        <f t="shared" ref="BG14:BI14" si="15">AVERAGE(G14,T14,AT14,AG14)</f>
        <v>0.977433887585141</v>
      </c>
      <c r="BH14" s="10">
        <f t="shared" si="15"/>
        <v>0.810388757944157</v>
      </c>
      <c r="BI14" s="10">
        <f t="shared" si="15"/>
        <v>0.0722709698035724</v>
      </c>
      <c r="BJ14" s="11"/>
      <c r="BK14" s="11"/>
      <c r="BL14" s="11"/>
      <c r="BM14" s="11"/>
      <c r="BN14" s="11"/>
    </row>
    <row r="15" s="1" customFormat="1" spans="1:66">
      <c r="A15" s="9" t="s">
        <v>25</v>
      </c>
      <c r="B15" s="9">
        <v>355311000.28</v>
      </c>
      <c r="C15" s="9">
        <v>25192646.5</v>
      </c>
      <c r="D15" s="9">
        <v>20565396.64</v>
      </c>
      <c r="E15" s="9">
        <v>47165679.83</v>
      </c>
      <c r="F15" s="9">
        <v>22270917.38</v>
      </c>
      <c r="G15" s="10">
        <v>1.2622785592917</v>
      </c>
      <c r="H15" s="10">
        <v>0.738068893548218</v>
      </c>
      <c r="I15" s="10">
        <v>0.128574803192312</v>
      </c>
      <c r="J15" s="10"/>
      <c r="K15" s="11"/>
      <c r="L15" s="11"/>
      <c r="M15" s="11"/>
      <c r="N15" s="11"/>
      <c r="O15" s="9">
        <v>363340354.19</v>
      </c>
      <c r="P15" s="9">
        <v>25723378.12</v>
      </c>
      <c r="Q15" s="9">
        <v>21293122.38</v>
      </c>
      <c r="R15" s="9">
        <v>49542323.31</v>
      </c>
      <c r="S15" s="9">
        <v>36727014.72</v>
      </c>
      <c r="T15" s="10">
        <v>1.2622785592917</v>
      </c>
      <c r="U15" s="10">
        <v>0.738068893548218</v>
      </c>
      <c r="V15" s="10">
        <v>0.128574803192312</v>
      </c>
      <c r="W15" s="10"/>
      <c r="X15" s="11"/>
      <c r="Y15" s="11"/>
      <c r="Z15" s="11"/>
      <c r="AA15" s="11"/>
      <c r="AB15" s="9">
        <v>356159338.3</v>
      </c>
      <c r="AC15" s="9">
        <v>26226840.06</v>
      </c>
      <c r="AD15" s="9">
        <v>25601798.07</v>
      </c>
      <c r="AE15" s="9">
        <v>37158686.08</v>
      </c>
      <c r="AF15" s="9">
        <v>24698179.38</v>
      </c>
      <c r="AG15" s="10">
        <v>0.94759364234667</v>
      </c>
      <c r="AH15" s="10">
        <v>0.685739535903215</v>
      </c>
      <c r="AI15" s="10">
        <v>0.109733001547588</v>
      </c>
      <c r="AJ15" s="10"/>
      <c r="AK15" s="11"/>
      <c r="AL15" s="11"/>
      <c r="AM15" s="11"/>
      <c r="AN15" s="11"/>
      <c r="AO15" s="9">
        <v>357323007.23</v>
      </c>
      <c r="AP15" s="9">
        <v>26763752.34</v>
      </c>
      <c r="AQ15" s="9">
        <v>32730056.89</v>
      </c>
      <c r="AR15" s="9">
        <v>38280094.75</v>
      </c>
      <c r="AS15" s="9">
        <v>24273506.34</v>
      </c>
      <c r="AT15" s="10">
        <v>0.890874517318685</v>
      </c>
      <c r="AU15" s="10">
        <v>0.640874394685583</v>
      </c>
      <c r="AV15" s="10">
        <v>0.114611303052127</v>
      </c>
      <c r="AW15" s="10"/>
      <c r="AX15" s="11"/>
      <c r="AY15" s="11"/>
      <c r="AZ15" s="11"/>
      <c r="BA15" s="11"/>
      <c r="BB15" s="9">
        <f t="shared" ref="BB15:BF15" si="16">SUM(B15,O15,)</f>
        <v>718651354.47</v>
      </c>
      <c r="BC15" s="9">
        <f t="shared" si="16"/>
        <v>50916024.62</v>
      </c>
      <c r="BD15" s="9">
        <f t="shared" si="16"/>
        <v>41858519.02</v>
      </c>
      <c r="BE15" s="9">
        <f t="shared" si="16"/>
        <v>96708003.14</v>
      </c>
      <c r="BF15" s="9">
        <f t="shared" si="16"/>
        <v>58997932.1</v>
      </c>
      <c r="BG15" s="10">
        <f t="shared" ref="BG15:BI15" si="17">AVERAGE(G15,T15,AT15,AG15)</f>
        <v>1.09075631956219</v>
      </c>
      <c r="BH15" s="10">
        <f t="shared" si="17"/>
        <v>0.700687929421308</v>
      </c>
      <c r="BI15" s="10">
        <f t="shared" si="17"/>
        <v>0.120373477746085</v>
      </c>
      <c r="BJ15" s="11"/>
      <c r="BK15" s="11"/>
      <c r="BL15" s="11"/>
      <c r="BM15" s="11"/>
      <c r="BN15" s="11"/>
    </row>
    <row r="16" s="1" customFormat="1" spans="1:66">
      <c r="A16" s="9" t="s">
        <v>26</v>
      </c>
      <c r="B16" s="9">
        <v>459101988.66</v>
      </c>
      <c r="C16" s="9">
        <v>27306563.52</v>
      </c>
      <c r="D16" s="9">
        <v>30546507.86</v>
      </c>
      <c r="E16" s="9">
        <v>29389631.53</v>
      </c>
      <c r="F16" s="9">
        <v>26680644.86</v>
      </c>
      <c r="G16" s="10">
        <v>0.971952898026451</v>
      </c>
      <c r="H16" s="10">
        <v>0.909762842617488</v>
      </c>
      <c r="I16" s="10">
        <v>0.0633263267407455</v>
      </c>
      <c r="J16" s="10"/>
      <c r="K16" s="11"/>
      <c r="L16" s="11"/>
      <c r="M16" s="11"/>
      <c r="N16" s="11"/>
      <c r="O16" s="9">
        <v>466381934.26</v>
      </c>
      <c r="P16" s="9">
        <v>27913374.06</v>
      </c>
      <c r="Q16" s="9">
        <v>32305626.77</v>
      </c>
      <c r="R16" s="9">
        <v>30344493.63</v>
      </c>
      <c r="S16" s="9">
        <v>27137081.54</v>
      </c>
      <c r="T16" s="10">
        <v>0.971952898026451</v>
      </c>
      <c r="U16" s="10">
        <v>0.909762842617488</v>
      </c>
      <c r="V16" s="10">
        <v>0.0633263267407455</v>
      </c>
      <c r="W16" s="10"/>
      <c r="X16" s="11"/>
      <c r="Y16" s="11"/>
      <c r="Z16" s="11"/>
      <c r="AA16" s="11"/>
      <c r="AB16" s="9">
        <v>455966410.25</v>
      </c>
      <c r="AC16" s="9">
        <v>28868814.6</v>
      </c>
      <c r="AD16" s="9">
        <v>40106607.71</v>
      </c>
      <c r="AE16" s="9">
        <v>32802784.51</v>
      </c>
      <c r="AF16" s="9">
        <v>29235216.23</v>
      </c>
      <c r="AG16" s="10">
        <v>0.993153336454668</v>
      </c>
      <c r="AH16" s="10">
        <v>0.893803688409797</v>
      </c>
      <c r="AI16" s="10">
        <v>0.0696387142202002</v>
      </c>
      <c r="AJ16" s="10"/>
      <c r="AK16" s="11"/>
      <c r="AL16" s="11"/>
      <c r="AM16" s="11"/>
      <c r="AN16" s="11"/>
      <c r="AO16" s="9">
        <v>465203563.65</v>
      </c>
      <c r="AP16" s="9">
        <v>29515683.13</v>
      </c>
      <c r="AQ16" s="9">
        <v>35091191.97</v>
      </c>
      <c r="AR16" s="9">
        <v>35177496.98</v>
      </c>
      <c r="AS16" s="9">
        <v>29942600.85</v>
      </c>
      <c r="AT16" s="10">
        <v>0.957311665367987</v>
      </c>
      <c r="AU16" s="10">
        <v>0.824481693083453</v>
      </c>
      <c r="AV16" s="10">
        <v>0.0734791911448613</v>
      </c>
      <c r="AW16" s="10"/>
      <c r="AX16" s="11"/>
      <c r="AY16" s="11"/>
      <c r="AZ16" s="11"/>
      <c r="BA16" s="11"/>
      <c r="BB16" s="9">
        <f t="shared" ref="BB16:BF16" si="18">SUM(B16,O16,)</f>
        <v>925483922.92</v>
      </c>
      <c r="BC16" s="9">
        <f t="shared" si="18"/>
        <v>55219937.58</v>
      </c>
      <c r="BD16" s="9">
        <f t="shared" si="18"/>
        <v>62852134.63</v>
      </c>
      <c r="BE16" s="9">
        <f t="shared" si="18"/>
        <v>59734125.16</v>
      </c>
      <c r="BF16" s="9">
        <f t="shared" si="18"/>
        <v>53817726.4</v>
      </c>
      <c r="BG16" s="10">
        <f t="shared" ref="BG16:BI16" si="19">AVERAGE(G16,T16,AT16,AG16)</f>
        <v>0.973592699468889</v>
      </c>
      <c r="BH16" s="10">
        <f t="shared" si="19"/>
        <v>0.884452766682057</v>
      </c>
      <c r="BI16" s="10">
        <f t="shared" si="19"/>
        <v>0.0674426397116381</v>
      </c>
      <c r="BJ16" s="11"/>
      <c r="BK16" s="11"/>
      <c r="BL16" s="11"/>
      <c r="BM16" s="11"/>
      <c r="BN16" s="11"/>
    </row>
    <row r="17" s="1" customFormat="1" spans="1:66">
      <c r="A17" s="9" t="s">
        <v>28</v>
      </c>
      <c r="B17" s="9">
        <v>446600563.23</v>
      </c>
      <c r="C17" s="9">
        <v>24149938.8</v>
      </c>
      <c r="D17" s="9">
        <v>44967476.58</v>
      </c>
      <c r="E17" s="9">
        <v>30818304.92</v>
      </c>
      <c r="F17" s="9">
        <v>24551262.46</v>
      </c>
      <c r="G17" s="10">
        <v>0.973259940302164</v>
      </c>
      <c r="H17" s="10">
        <v>0.836231576821126</v>
      </c>
      <c r="I17" s="10">
        <v>0.0755727589041748</v>
      </c>
      <c r="J17" s="10"/>
      <c r="K17" s="11"/>
      <c r="L17" s="11"/>
      <c r="M17" s="11"/>
      <c r="N17" s="11"/>
      <c r="O17" s="9">
        <v>402004488.09</v>
      </c>
      <c r="P17" s="9">
        <v>24616656.57</v>
      </c>
      <c r="Q17" s="9">
        <v>51109060.42</v>
      </c>
      <c r="R17" s="9">
        <v>30684740.46</v>
      </c>
      <c r="S17" s="9">
        <v>23706324.04</v>
      </c>
      <c r="T17" s="10">
        <v>0.973259940302164</v>
      </c>
      <c r="U17" s="10">
        <v>0.836231576821126</v>
      </c>
      <c r="V17" s="10">
        <v>0.0755727589041748</v>
      </c>
      <c r="W17" s="10"/>
      <c r="X17" s="11"/>
      <c r="Y17" s="11"/>
      <c r="Z17" s="11"/>
      <c r="AA17" s="11"/>
      <c r="AB17" s="9">
        <v>350407181.33</v>
      </c>
      <c r="AC17" s="9">
        <v>24135618.47</v>
      </c>
      <c r="AD17" s="9">
        <v>32015866.57</v>
      </c>
      <c r="AE17" s="9">
        <v>37937637.08</v>
      </c>
      <c r="AF17" s="9">
        <v>23790153.02</v>
      </c>
      <c r="AG17" s="10">
        <v>0.972297188372</v>
      </c>
      <c r="AH17" s="10">
        <v>0.757944870219356</v>
      </c>
      <c r="AI17" s="10">
        <v>0.09835820816314</v>
      </c>
      <c r="AJ17" s="10"/>
      <c r="AK17" s="11"/>
      <c r="AL17" s="11"/>
      <c r="AM17" s="11"/>
      <c r="AN17" s="11"/>
      <c r="AO17" s="9">
        <v>358488286.46</v>
      </c>
      <c r="AP17" s="9">
        <v>23647570.01</v>
      </c>
      <c r="AQ17" s="9">
        <v>33466054.57</v>
      </c>
      <c r="AR17" s="9">
        <v>31026945.69</v>
      </c>
      <c r="AS17" s="9">
        <v>21735650.86</v>
      </c>
      <c r="AT17" s="10">
        <v>0.929262481798906</v>
      </c>
      <c r="AU17" s="10">
        <v>0.775775275331952</v>
      </c>
      <c r="AV17" s="10">
        <v>0.0798414863825855</v>
      </c>
      <c r="AW17" s="10"/>
      <c r="AX17" s="11"/>
      <c r="AY17" s="11"/>
      <c r="AZ17" s="11"/>
      <c r="BA17" s="11"/>
      <c r="BB17" s="9">
        <f t="shared" ref="BB17:BF17" si="20">SUM(B17,O17,)</f>
        <v>848605051.32</v>
      </c>
      <c r="BC17" s="9">
        <f t="shared" si="20"/>
        <v>48766595.37</v>
      </c>
      <c r="BD17" s="9">
        <f t="shared" si="20"/>
        <v>96076537</v>
      </c>
      <c r="BE17" s="9">
        <f t="shared" si="20"/>
        <v>61503045.38</v>
      </c>
      <c r="BF17" s="9">
        <f t="shared" si="20"/>
        <v>48257586.5</v>
      </c>
      <c r="BG17" s="10">
        <f t="shared" ref="BG17:BI17" si="21">AVERAGE(G17,T17,AT17,AG17)</f>
        <v>0.962019887693809</v>
      </c>
      <c r="BH17" s="10">
        <f t="shared" si="21"/>
        <v>0.80154582479839</v>
      </c>
      <c r="BI17" s="10">
        <f t="shared" si="21"/>
        <v>0.0823363030885188</v>
      </c>
      <c r="BJ17" s="11"/>
      <c r="BK17" s="11"/>
      <c r="BL17" s="11"/>
      <c r="BM17" s="11"/>
      <c r="BN17" s="11"/>
    </row>
    <row r="18" s="1" customFormat="1" spans="1:66">
      <c r="A18" s="12" t="s">
        <v>29</v>
      </c>
      <c r="B18" s="12">
        <v>1795593754.09</v>
      </c>
      <c r="C18" s="12">
        <v>103729724.06</v>
      </c>
      <c r="D18" s="12">
        <v>152081432.98</v>
      </c>
      <c r="E18" s="12">
        <v>140705559.2</v>
      </c>
      <c r="F18" s="12">
        <v>99455022.01</v>
      </c>
      <c r="G18" s="13">
        <v>1.05514544654716</v>
      </c>
      <c r="H18" s="13">
        <v>0.824113209475269</v>
      </c>
      <c r="I18" s="13">
        <v>0.0808139884509684</v>
      </c>
      <c r="J18" s="13"/>
      <c r="K18" s="11"/>
      <c r="L18" s="11"/>
      <c r="M18" s="11"/>
      <c r="N18" s="11"/>
      <c r="O18" s="12">
        <v>1745086670.13</v>
      </c>
      <c r="P18" s="12">
        <v>106015265.26</v>
      </c>
      <c r="Q18" s="12">
        <v>165911243.37</v>
      </c>
      <c r="R18" s="12">
        <v>147013954.99</v>
      </c>
      <c r="S18" s="12">
        <v>116263277.61</v>
      </c>
      <c r="T18" s="13">
        <v>1.05514544654716</v>
      </c>
      <c r="U18" s="13">
        <v>0.824113209475269</v>
      </c>
      <c r="V18" s="13">
        <v>0.0808139884509684</v>
      </c>
      <c r="W18" s="13"/>
      <c r="X18" s="11"/>
      <c r="Y18" s="11"/>
      <c r="Z18" s="11"/>
      <c r="AA18" s="11"/>
      <c r="AB18" s="12">
        <v>1620046212.95</v>
      </c>
      <c r="AC18" s="12">
        <v>106952122.8</v>
      </c>
      <c r="AD18" s="12">
        <v>135270070.65</v>
      </c>
      <c r="AE18" s="12">
        <v>143897747.5</v>
      </c>
      <c r="AF18" s="12">
        <v>105404200.71</v>
      </c>
      <c r="AG18" s="13">
        <v>0.973971885576676</v>
      </c>
      <c r="AH18" s="13">
        <v>0.783512345429596</v>
      </c>
      <c r="AI18" s="13">
        <v>0.0854671591873962</v>
      </c>
      <c r="AJ18" s="13"/>
      <c r="AK18" s="11"/>
      <c r="AL18" s="11"/>
      <c r="AM18" s="11"/>
      <c r="AN18" s="11"/>
      <c r="AO18" s="12">
        <v>1644121102.9</v>
      </c>
      <c r="AP18" s="12">
        <v>107549708.92</v>
      </c>
      <c r="AQ18" s="12">
        <v>131461490.21</v>
      </c>
      <c r="AR18" s="12">
        <v>140405269.32</v>
      </c>
      <c r="AS18" s="12">
        <v>102523903.3</v>
      </c>
      <c r="AT18" s="13">
        <v>0.919201901255972</v>
      </c>
      <c r="AU18" s="13">
        <v>0.74834470726479</v>
      </c>
      <c r="AV18" s="13">
        <v>0.0826807311860763</v>
      </c>
      <c r="AW18" s="13"/>
      <c r="AX18" s="11"/>
      <c r="AY18" s="11"/>
      <c r="AZ18" s="11"/>
      <c r="BA18" s="11"/>
      <c r="BB18" s="12">
        <v>1795593754.09</v>
      </c>
      <c r="BC18" s="12">
        <v>103729724.06</v>
      </c>
      <c r="BD18" s="12">
        <v>152081432.98</v>
      </c>
      <c r="BE18" s="12">
        <v>140705559.2</v>
      </c>
      <c r="BF18" s="12">
        <v>99455022.01</v>
      </c>
      <c r="BG18" s="13">
        <v>1.05514544654716</v>
      </c>
      <c r="BH18" s="13">
        <v>0.824113209475269</v>
      </c>
      <c r="BI18" s="13">
        <v>0.0808139884509684</v>
      </c>
      <c r="BJ18" s="11"/>
      <c r="BK18" s="11"/>
      <c r="BL18" s="11"/>
      <c r="BM18" s="11"/>
      <c r="BN18" s="11"/>
    </row>
    <row r="19" s="1" customFormat="1" spans="1:66">
      <c r="A19" s="9" t="s">
        <v>30</v>
      </c>
      <c r="B19" s="9">
        <v>540877635.44</v>
      </c>
      <c r="C19" s="9">
        <v>40930210.5199999</v>
      </c>
      <c r="D19" s="9">
        <v>40734734.8599999</v>
      </c>
      <c r="E19" s="9">
        <v>46210314.0099998</v>
      </c>
      <c r="F19" s="9">
        <v>39468635.8299999</v>
      </c>
      <c r="G19" s="10">
        <v>0.881089122600563</v>
      </c>
      <c r="H19" s="10">
        <v>0.807322689206947</v>
      </c>
      <c r="I19" s="10">
        <v>0.0752150555517369</v>
      </c>
      <c r="J19" s="10"/>
      <c r="K19" s="11"/>
      <c r="L19" s="11"/>
      <c r="M19" s="11"/>
      <c r="N19" s="11"/>
      <c r="O19" s="9">
        <v>522254037.67</v>
      </c>
      <c r="P19" s="9">
        <v>40675953.8799999</v>
      </c>
      <c r="Q19" s="9">
        <v>38018894.85</v>
      </c>
      <c r="R19" s="9">
        <v>47255872.2099999</v>
      </c>
      <c r="S19" s="9">
        <v>39428009.96</v>
      </c>
      <c r="T19" s="10">
        <v>0.881089122600563</v>
      </c>
      <c r="U19" s="10">
        <v>0.807322689206947</v>
      </c>
      <c r="V19" s="10">
        <v>0.0752150555517369</v>
      </c>
      <c r="W19" s="10"/>
      <c r="X19" s="11"/>
      <c r="Y19" s="11"/>
      <c r="Z19" s="11"/>
      <c r="AA19" s="11"/>
      <c r="AB19" s="9">
        <v>519556384.5</v>
      </c>
      <c r="AC19" s="9">
        <v>41154150.6</v>
      </c>
      <c r="AD19" s="9">
        <v>46109598.99</v>
      </c>
      <c r="AE19" s="9">
        <v>47609553.87</v>
      </c>
      <c r="AF19" s="9">
        <v>40051912.56</v>
      </c>
      <c r="AG19" s="10">
        <v>1.05421959403259</v>
      </c>
      <c r="AH19" s="10">
        <v>0.88475239353785</v>
      </c>
      <c r="AI19" s="10">
        <v>0.0830936512951209</v>
      </c>
      <c r="AJ19" s="10"/>
      <c r="AK19" s="11"/>
      <c r="AL19" s="11"/>
      <c r="AM19" s="11"/>
      <c r="AN19" s="11"/>
      <c r="AO19" s="9">
        <v>526419439.92</v>
      </c>
      <c r="AP19" s="9">
        <v>41381665.36</v>
      </c>
      <c r="AQ19" s="9">
        <v>41438070.71</v>
      </c>
      <c r="AR19" s="9">
        <v>48144733.7599999</v>
      </c>
      <c r="AS19" s="9">
        <v>38615169.99</v>
      </c>
      <c r="AT19" s="10">
        <v>0.965692286121105</v>
      </c>
      <c r="AU19" s="10">
        <v>0.898798058641522</v>
      </c>
      <c r="AV19" s="10">
        <v>0.0701517349723559</v>
      </c>
      <c r="AW19" s="10"/>
      <c r="AX19" s="11"/>
      <c r="AY19" s="11"/>
      <c r="AZ19" s="11"/>
      <c r="BA19" s="11"/>
      <c r="BB19" s="9">
        <f t="shared" ref="BB19:BF19" si="22">SUM(B19,O19,)</f>
        <v>1063131673.11</v>
      </c>
      <c r="BC19" s="9">
        <f t="shared" si="22"/>
        <v>81606164.3999998</v>
      </c>
      <c r="BD19" s="9">
        <f t="shared" si="22"/>
        <v>78753629.7099999</v>
      </c>
      <c r="BE19" s="9">
        <f t="shared" si="22"/>
        <v>93466186.2199997</v>
      </c>
      <c r="BF19" s="9">
        <f t="shared" si="22"/>
        <v>78896645.7899999</v>
      </c>
      <c r="BG19" s="10">
        <f t="shared" ref="BG19:BI19" si="23">AVERAGE(G19,T19,AT19,AG19)</f>
        <v>0.945522531338706</v>
      </c>
      <c r="BH19" s="10">
        <f t="shared" si="23"/>
        <v>0.849548957648316</v>
      </c>
      <c r="BI19" s="10">
        <f t="shared" si="23"/>
        <v>0.0759188743427377</v>
      </c>
      <c r="BJ19" s="11"/>
      <c r="BK19" s="11"/>
      <c r="BL19" s="11"/>
      <c r="BM19" s="11"/>
      <c r="BN19" s="11"/>
    </row>
    <row r="20" s="1" customFormat="1" spans="1:66">
      <c r="A20" s="9" t="s">
        <v>31</v>
      </c>
      <c r="B20" s="9">
        <v>360593491.85</v>
      </c>
      <c r="C20" s="9">
        <v>26990836.58</v>
      </c>
      <c r="D20" s="9">
        <v>27202888.12</v>
      </c>
      <c r="E20" s="9">
        <v>31951000.31</v>
      </c>
      <c r="F20" s="9">
        <v>25148958.11</v>
      </c>
      <c r="G20" s="10">
        <v>0.493442620730759</v>
      </c>
      <c r="H20" s="10">
        <v>0.405214318908639</v>
      </c>
      <c r="I20" s="10">
        <v>0.0914579999383943</v>
      </c>
      <c r="J20" s="10"/>
      <c r="K20" s="11"/>
      <c r="L20" s="11"/>
      <c r="M20" s="11"/>
      <c r="N20" s="11"/>
      <c r="O20" s="9">
        <v>354263785.17</v>
      </c>
      <c r="P20" s="9">
        <v>26912762.87</v>
      </c>
      <c r="Q20" s="9">
        <v>24321810.22</v>
      </c>
      <c r="R20" s="9">
        <v>32583945.3</v>
      </c>
      <c r="S20" s="9">
        <v>25444060.66</v>
      </c>
      <c r="T20" s="10">
        <v>0.493442620730759</v>
      </c>
      <c r="U20" s="10">
        <v>0.405214318908639</v>
      </c>
      <c r="V20" s="10">
        <v>0.0914579999383943</v>
      </c>
      <c r="W20" s="10"/>
      <c r="X20" s="11"/>
      <c r="Y20" s="11"/>
      <c r="Z20" s="11"/>
      <c r="AA20" s="11"/>
      <c r="AB20" s="9">
        <v>347404158.87</v>
      </c>
      <c r="AC20" s="9">
        <v>27213617.18</v>
      </c>
      <c r="AD20" s="9">
        <v>34066836.51</v>
      </c>
      <c r="AE20" s="9">
        <v>33075300.99</v>
      </c>
      <c r="AF20" s="9">
        <v>25661083.95</v>
      </c>
      <c r="AG20" s="10">
        <v>0.536421778382767</v>
      </c>
      <c r="AH20" s="10">
        <v>0.422958042566812</v>
      </c>
      <c r="AI20" s="10">
        <v>0.0946651219984096</v>
      </c>
      <c r="AJ20" s="10"/>
      <c r="AK20" s="11"/>
      <c r="AL20" s="11"/>
      <c r="AM20" s="11"/>
      <c r="AN20" s="11"/>
      <c r="AO20" s="9">
        <v>344106114.52</v>
      </c>
      <c r="AP20" s="9">
        <v>27391029.92</v>
      </c>
      <c r="AQ20" s="9">
        <v>30559439.78</v>
      </c>
      <c r="AR20" s="9">
        <v>33370402.75</v>
      </c>
      <c r="AS20" s="9">
        <v>25079156.8</v>
      </c>
      <c r="AT20" s="10">
        <v>0.552703004189199</v>
      </c>
      <c r="AU20" s="10">
        <v>0.421054422474409</v>
      </c>
      <c r="AV20" s="10">
        <v>0.099905361858515</v>
      </c>
      <c r="AW20" s="10"/>
      <c r="AX20" s="11"/>
      <c r="AY20" s="11"/>
      <c r="AZ20" s="11"/>
      <c r="BA20" s="11"/>
      <c r="BB20" s="9">
        <f t="shared" ref="BB20:BF20" si="24">SUM(B20,O20,)</f>
        <v>714857277.02</v>
      </c>
      <c r="BC20" s="9">
        <f t="shared" si="24"/>
        <v>53903599.45</v>
      </c>
      <c r="BD20" s="9">
        <f t="shared" si="24"/>
        <v>51524698.34</v>
      </c>
      <c r="BE20" s="9">
        <f t="shared" si="24"/>
        <v>64534945.61</v>
      </c>
      <c r="BF20" s="9">
        <f t="shared" si="24"/>
        <v>50593018.77</v>
      </c>
      <c r="BG20" s="10">
        <f t="shared" ref="BG20:BI20" si="25">AVERAGE(G20,T20,AT20,AG20)</f>
        <v>0.519002506008371</v>
      </c>
      <c r="BH20" s="10">
        <f t="shared" si="25"/>
        <v>0.413610275714625</v>
      </c>
      <c r="BI20" s="10">
        <f t="shared" si="25"/>
        <v>0.0943716209334283</v>
      </c>
      <c r="BJ20" s="11"/>
      <c r="BK20" s="11"/>
      <c r="BL20" s="11"/>
      <c r="BM20" s="11"/>
      <c r="BN20" s="11"/>
    </row>
    <row r="21" s="1" customFormat="1" spans="1:66">
      <c r="A21" s="9" t="s">
        <v>33</v>
      </c>
      <c r="B21" s="9">
        <v>280533698.54</v>
      </c>
      <c r="C21" s="9">
        <v>21060530.31</v>
      </c>
      <c r="D21" s="9">
        <v>21452206.89</v>
      </c>
      <c r="E21" s="9">
        <v>25479060.4</v>
      </c>
      <c r="F21" s="9">
        <v>18721732.44</v>
      </c>
      <c r="G21" s="10">
        <v>0.475361211345735</v>
      </c>
      <c r="H21" s="10">
        <v>0.375981175331397</v>
      </c>
      <c r="I21" s="10">
        <v>0.0488656789266335</v>
      </c>
      <c r="J21" s="10"/>
      <c r="K21" s="11"/>
      <c r="L21" s="11"/>
      <c r="M21" s="11"/>
      <c r="N21" s="11"/>
      <c r="O21" s="9">
        <v>271196637.11</v>
      </c>
      <c r="P21" s="9">
        <v>20963345.53</v>
      </c>
      <c r="Q21" s="9">
        <v>18192032.79</v>
      </c>
      <c r="R21" s="9">
        <v>26504415.59</v>
      </c>
      <c r="S21" s="9">
        <v>19930322.65</v>
      </c>
      <c r="T21" s="10">
        <v>0.475361211345735</v>
      </c>
      <c r="U21" s="10">
        <v>0.375981175331397</v>
      </c>
      <c r="V21" s="10">
        <v>0.0488656789266335</v>
      </c>
      <c r="W21" s="10"/>
      <c r="X21" s="11"/>
      <c r="Y21" s="11"/>
      <c r="Z21" s="11"/>
      <c r="AA21" s="11"/>
      <c r="AB21" s="9">
        <v>273536903.32</v>
      </c>
      <c r="AC21" s="9">
        <v>20755886.51</v>
      </c>
      <c r="AD21" s="9">
        <v>22125372.5</v>
      </c>
      <c r="AE21" s="9">
        <v>25190405.77</v>
      </c>
      <c r="AF21" s="9">
        <v>18386903.71</v>
      </c>
      <c r="AG21" s="10">
        <v>0.442932266495612</v>
      </c>
      <c r="AH21" s="10">
        <v>0.364958466288334</v>
      </c>
      <c r="AI21" s="10">
        <v>0.0460457171669644</v>
      </c>
      <c r="AJ21" s="10"/>
      <c r="AK21" s="11"/>
      <c r="AL21" s="11"/>
      <c r="AM21" s="11"/>
      <c r="AN21" s="11"/>
      <c r="AO21" s="9">
        <v>283893195.07</v>
      </c>
      <c r="AP21" s="9">
        <v>20988949.22</v>
      </c>
      <c r="AQ21" s="9">
        <v>19123132.51</v>
      </c>
      <c r="AR21" s="9">
        <v>25715799.52</v>
      </c>
      <c r="AS21" s="9">
        <v>18412933.54</v>
      </c>
      <c r="AT21" s="10">
        <v>0.933795293936545</v>
      </c>
      <c r="AU21" s="10">
        <v>0.852671233937677</v>
      </c>
      <c r="AV21" s="10">
        <v>0.0629311165814339</v>
      </c>
      <c r="AW21" s="10"/>
      <c r="AX21" s="11"/>
      <c r="AY21" s="11"/>
      <c r="AZ21" s="11"/>
      <c r="BA21" s="11"/>
      <c r="BB21" s="9">
        <f t="shared" ref="BB21:BF21" si="26">SUM(B21,O21,)</f>
        <v>551730335.65</v>
      </c>
      <c r="BC21" s="9">
        <f t="shared" si="26"/>
        <v>42023875.84</v>
      </c>
      <c r="BD21" s="9">
        <f t="shared" si="26"/>
        <v>39644239.68</v>
      </c>
      <c r="BE21" s="9">
        <f t="shared" si="26"/>
        <v>51983475.99</v>
      </c>
      <c r="BF21" s="9">
        <f t="shared" si="26"/>
        <v>38652055.09</v>
      </c>
      <c r="BG21" s="10">
        <f t="shared" ref="BG21:BI21" si="27">AVERAGE(G21,T21,AT21,AG21)</f>
        <v>0.581862495780907</v>
      </c>
      <c r="BH21" s="10">
        <f t="shared" si="27"/>
        <v>0.492398012722201</v>
      </c>
      <c r="BI21" s="10">
        <f t="shared" si="27"/>
        <v>0.0516770479004163</v>
      </c>
      <c r="BJ21" s="11"/>
      <c r="BK21" s="11"/>
      <c r="BL21" s="11"/>
      <c r="BM21" s="11"/>
      <c r="BN21" s="11"/>
    </row>
    <row r="22" s="1" customFormat="1" spans="1:66">
      <c r="A22" s="9" t="s">
        <v>34</v>
      </c>
      <c r="B22" s="9">
        <v>573155289.6</v>
      </c>
      <c r="C22" s="9">
        <v>35005835.0699999</v>
      </c>
      <c r="D22" s="9">
        <v>36732080.56</v>
      </c>
      <c r="E22" s="9">
        <v>36862378.22</v>
      </c>
      <c r="F22" s="9">
        <v>34502161.49</v>
      </c>
      <c r="G22" s="10">
        <v>0.991994337291693</v>
      </c>
      <c r="H22" s="10">
        <v>0.966832020237901</v>
      </c>
      <c r="I22" s="10">
        <v>0.0583610314814637</v>
      </c>
      <c r="J22" s="10"/>
      <c r="K22" s="11"/>
      <c r="L22" s="11"/>
      <c r="M22" s="11"/>
      <c r="N22" s="11"/>
      <c r="O22" s="9">
        <v>559676302.809999</v>
      </c>
      <c r="P22" s="9">
        <v>35411921.34</v>
      </c>
      <c r="Q22" s="9">
        <v>34188267.48</v>
      </c>
      <c r="R22" s="9">
        <v>37197916.6</v>
      </c>
      <c r="S22" s="9">
        <v>34881382</v>
      </c>
      <c r="T22" s="10">
        <v>0.991994337291693</v>
      </c>
      <c r="U22" s="10">
        <v>0.966832020237901</v>
      </c>
      <c r="V22" s="10">
        <v>0.0583610314814637</v>
      </c>
      <c r="W22" s="10"/>
      <c r="X22" s="11"/>
      <c r="Y22" s="11"/>
      <c r="Z22" s="11"/>
      <c r="AA22" s="11"/>
      <c r="AB22" s="9">
        <v>565392431.6</v>
      </c>
      <c r="AC22" s="9">
        <v>35641031.73</v>
      </c>
      <c r="AD22" s="9">
        <v>41528413.87</v>
      </c>
      <c r="AE22" s="9">
        <v>37319170.68</v>
      </c>
      <c r="AF22" s="9">
        <v>34800989.42</v>
      </c>
      <c r="AG22" s="10">
        <v>0.987288901735571</v>
      </c>
      <c r="AH22" s="10">
        <v>0.963737743351001</v>
      </c>
      <c r="AI22" s="10">
        <v>0.0573510568494528</v>
      </c>
      <c r="AJ22" s="10"/>
      <c r="AK22" s="11"/>
      <c r="AL22" s="11"/>
      <c r="AM22" s="11"/>
      <c r="AN22" s="11"/>
      <c r="AO22" s="9">
        <v>573183976.350001</v>
      </c>
      <c r="AP22" s="9">
        <v>36635957.52</v>
      </c>
      <c r="AQ22" s="9">
        <v>39903850.99</v>
      </c>
      <c r="AR22" s="9">
        <v>38538465.04</v>
      </c>
      <c r="AS22" s="9">
        <v>35173847.4</v>
      </c>
      <c r="AT22" s="10">
        <v>0.978522751908141</v>
      </c>
      <c r="AU22" s="10">
        <v>0.953192603092029</v>
      </c>
      <c r="AV22" s="10">
        <v>0.0587347213883698</v>
      </c>
      <c r="AW22" s="10"/>
      <c r="AX22" s="11"/>
      <c r="AY22" s="11"/>
      <c r="AZ22" s="11"/>
      <c r="BA22" s="11"/>
      <c r="BB22" s="9">
        <f t="shared" ref="BB22:BF22" si="28">SUM(B22,O22,)</f>
        <v>1132831592.41</v>
      </c>
      <c r="BC22" s="9">
        <f t="shared" si="28"/>
        <v>70417756.41</v>
      </c>
      <c r="BD22" s="9">
        <f t="shared" si="28"/>
        <v>70920348.04</v>
      </c>
      <c r="BE22" s="9">
        <f t="shared" si="28"/>
        <v>74060294.82</v>
      </c>
      <c r="BF22" s="9">
        <f t="shared" si="28"/>
        <v>69383543.49</v>
      </c>
      <c r="BG22" s="10">
        <f t="shared" ref="BG22:BI22" si="29">AVERAGE(G22,T22,AT22,AG22)</f>
        <v>0.987450082056775</v>
      </c>
      <c r="BH22" s="10">
        <f t="shared" si="29"/>
        <v>0.962648596729708</v>
      </c>
      <c r="BI22" s="10">
        <f t="shared" si="29"/>
        <v>0.0582019603001875</v>
      </c>
      <c r="BJ22" s="11"/>
      <c r="BK22" s="11"/>
      <c r="BL22" s="11"/>
      <c r="BM22" s="11"/>
      <c r="BN22" s="11"/>
    </row>
    <row r="23" s="1" customFormat="1" spans="1:66">
      <c r="A23" s="9" t="s">
        <v>32</v>
      </c>
      <c r="B23" s="9">
        <v>373548690.84</v>
      </c>
      <c r="C23" s="9">
        <v>27188386.7</v>
      </c>
      <c r="D23" s="9">
        <v>24815733.84</v>
      </c>
      <c r="E23" s="9">
        <v>68178142.48</v>
      </c>
      <c r="F23" s="9">
        <v>24055587.23</v>
      </c>
      <c r="G23" s="10">
        <v>0.94807394747615</v>
      </c>
      <c r="H23" s="10">
        <v>0.676023250724209</v>
      </c>
      <c r="I23" s="10">
        <v>0.166826353702316</v>
      </c>
      <c r="J23" s="10"/>
      <c r="K23" s="11"/>
      <c r="L23" s="11"/>
      <c r="M23" s="11"/>
      <c r="N23" s="11"/>
      <c r="O23" s="9">
        <v>368412555.93</v>
      </c>
      <c r="P23" s="9">
        <v>27414214.71</v>
      </c>
      <c r="Q23" s="9">
        <v>23510203.62</v>
      </c>
      <c r="R23" s="9">
        <v>69326737.1599999</v>
      </c>
      <c r="S23" s="9">
        <v>24597912.23</v>
      </c>
      <c r="T23" s="10">
        <v>0.94807394747615</v>
      </c>
      <c r="U23" s="10">
        <v>0.676023250724209</v>
      </c>
      <c r="V23" s="10">
        <v>0.166826353702316</v>
      </c>
      <c r="W23" s="10"/>
      <c r="X23" s="11"/>
      <c r="Y23" s="11"/>
      <c r="Z23" s="11"/>
      <c r="AA23" s="11"/>
      <c r="AB23" s="9">
        <v>365131099.19</v>
      </c>
      <c r="AC23" s="9">
        <v>27279095.06</v>
      </c>
      <c r="AD23" s="9">
        <v>29323687.5</v>
      </c>
      <c r="AE23" s="9">
        <v>71013006.85</v>
      </c>
      <c r="AF23" s="9">
        <v>24728599.02</v>
      </c>
      <c r="AG23" s="10">
        <v>0.952746815239156</v>
      </c>
      <c r="AH23" s="10">
        <v>0.672769750242539</v>
      </c>
      <c r="AI23" s="10">
        <v>0.179976328121278</v>
      </c>
      <c r="AJ23" s="10"/>
      <c r="AK23" s="11"/>
      <c r="AL23" s="11"/>
      <c r="AM23" s="11"/>
      <c r="AN23" s="11"/>
      <c r="AO23" s="9">
        <v>372840219.51</v>
      </c>
      <c r="AP23" s="9">
        <v>27967497.56</v>
      </c>
      <c r="AQ23" s="9">
        <v>28513443.09</v>
      </c>
      <c r="AR23" s="9">
        <v>72049362.4100001</v>
      </c>
      <c r="AS23" s="9">
        <v>24903267.51</v>
      </c>
      <c r="AT23" s="10">
        <v>0.652174364729521</v>
      </c>
      <c r="AU23" s="10">
        <v>0.536554946487475</v>
      </c>
      <c r="AV23" s="10">
        <v>0.152451652467908</v>
      </c>
      <c r="AW23" s="10"/>
      <c r="AX23" s="11"/>
      <c r="AY23" s="11"/>
      <c r="AZ23" s="11"/>
      <c r="BA23" s="11"/>
      <c r="BB23" s="9">
        <f t="shared" ref="BB23:BF23" si="30">SUM(B23,O23,)</f>
        <v>741961246.77</v>
      </c>
      <c r="BC23" s="9">
        <f t="shared" si="30"/>
        <v>54602601.41</v>
      </c>
      <c r="BD23" s="9">
        <f t="shared" si="30"/>
        <v>48325937.46</v>
      </c>
      <c r="BE23" s="9">
        <f t="shared" si="30"/>
        <v>137504879.64</v>
      </c>
      <c r="BF23" s="9">
        <f t="shared" si="30"/>
        <v>48653499.46</v>
      </c>
      <c r="BG23" s="10">
        <f t="shared" ref="BG23:BI23" si="31">AVERAGE(G23,T23,AT23,AG23)</f>
        <v>0.875267268730244</v>
      </c>
      <c r="BH23" s="10">
        <f t="shared" si="31"/>
        <v>0.640342799544608</v>
      </c>
      <c r="BI23" s="10">
        <f t="shared" si="31"/>
        <v>0.166520171998454</v>
      </c>
      <c r="BJ23" s="11"/>
      <c r="BK23" s="11"/>
      <c r="BL23" s="11"/>
      <c r="BM23" s="11"/>
      <c r="BN23" s="11"/>
    </row>
    <row r="24" s="1" customFormat="1" spans="1:66">
      <c r="A24" s="12" t="s">
        <v>35</v>
      </c>
      <c r="B24" s="12">
        <v>2128708806.27</v>
      </c>
      <c r="C24" s="12">
        <v>151175799.18</v>
      </c>
      <c r="D24" s="12">
        <v>150937644.27</v>
      </c>
      <c r="E24" s="12">
        <v>208680895.42</v>
      </c>
      <c r="F24" s="12">
        <v>141897075.1</v>
      </c>
      <c r="G24" s="13">
        <v>0.920217964929182</v>
      </c>
      <c r="H24" s="13">
        <v>0.739267890065501</v>
      </c>
      <c r="I24" s="13">
        <v>0.0808246445395646</v>
      </c>
      <c r="J24" s="13"/>
      <c r="K24" s="11"/>
      <c r="L24" s="11"/>
      <c r="M24" s="11"/>
      <c r="N24" s="11"/>
      <c r="O24" s="12">
        <v>2075803318.69</v>
      </c>
      <c r="P24" s="12">
        <v>151378198.33</v>
      </c>
      <c r="Q24" s="12">
        <v>138231208.96</v>
      </c>
      <c r="R24" s="12">
        <v>212868886.86</v>
      </c>
      <c r="S24" s="12">
        <v>144281687.5</v>
      </c>
      <c r="T24" s="13">
        <v>0.920217964929182</v>
      </c>
      <c r="U24" s="13">
        <v>0.739267890065501</v>
      </c>
      <c r="V24" s="13">
        <v>0.0808246445395646</v>
      </c>
      <c r="W24" s="13"/>
      <c r="X24" s="11"/>
      <c r="Y24" s="11"/>
      <c r="Z24" s="11"/>
      <c r="AA24" s="11"/>
      <c r="AB24" s="12">
        <v>2071020977.48</v>
      </c>
      <c r="AC24" s="12">
        <v>152043781.08</v>
      </c>
      <c r="AD24" s="12">
        <v>173153909.37</v>
      </c>
      <c r="AE24" s="12">
        <v>214207438.16</v>
      </c>
      <c r="AF24" s="12">
        <v>143629488.66</v>
      </c>
      <c r="AG24" s="13">
        <v>0.94278763774803</v>
      </c>
      <c r="AH24" s="13">
        <v>0.746914878875606</v>
      </c>
      <c r="AI24" s="13">
        <v>0.0813257373490996</v>
      </c>
      <c r="AJ24" s="13"/>
      <c r="AK24" s="11"/>
      <c r="AL24" s="11"/>
      <c r="AM24" s="11"/>
      <c r="AN24" s="11"/>
      <c r="AO24" s="12">
        <v>2100442945.37</v>
      </c>
      <c r="AP24" s="12">
        <v>154365099.58</v>
      </c>
      <c r="AQ24" s="12">
        <v>159537937.08</v>
      </c>
      <c r="AR24" s="12">
        <v>217818763.48</v>
      </c>
      <c r="AS24" s="12">
        <v>142184375.24</v>
      </c>
      <c r="AT24" s="13">
        <v>0.9111104400457</v>
      </c>
      <c r="AU24" s="13">
        <v>0.742331079427074</v>
      </c>
      <c r="AV24" s="13">
        <v>0.0793885319301379</v>
      </c>
      <c r="AW24" s="13"/>
      <c r="AX24" s="11"/>
      <c r="AY24" s="11"/>
      <c r="AZ24" s="11"/>
      <c r="BA24" s="11"/>
      <c r="BB24" s="12">
        <v>2128708806.27</v>
      </c>
      <c r="BC24" s="12">
        <v>151175799.18</v>
      </c>
      <c r="BD24" s="12">
        <v>150937644.27</v>
      </c>
      <c r="BE24" s="12">
        <v>208680895.42</v>
      </c>
      <c r="BF24" s="12">
        <v>141897075.1</v>
      </c>
      <c r="BG24" s="13">
        <v>0.920217964929182</v>
      </c>
      <c r="BH24" s="13">
        <v>0.739267890065501</v>
      </c>
      <c r="BI24" s="13">
        <v>0.0808246445395646</v>
      </c>
      <c r="BJ24" s="11"/>
      <c r="BK24" s="11"/>
      <c r="BL24" s="11"/>
      <c r="BM24" s="11"/>
      <c r="BN24" s="11"/>
    </row>
    <row r="25" s="1" customFormat="1" spans="1:66">
      <c r="A25" s="9" t="s">
        <v>36</v>
      </c>
      <c r="B25" s="9">
        <v>217720474.93</v>
      </c>
      <c r="C25" s="9">
        <v>18389929.84</v>
      </c>
      <c r="D25" s="9">
        <v>18879700.37</v>
      </c>
      <c r="E25" s="9">
        <v>19057488.93</v>
      </c>
      <c r="F25" s="9">
        <v>17944778.17</v>
      </c>
      <c r="G25" s="10">
        <v>0.500657007923335</v>
      </c>
      <c r="H25" s="10">
        <v>0.47881109800211</v>
      </c>
      <c r="I25" s="10">
        <v>0.0457427835004699</v>
      </c>
      <c r="J25" s="10"/>
      <c r="K25" s="11"/>
      <c r="L25" s="11"/>
      <c r="M25" s="11"/>
      <c r="N25" s="11"/>
      <c r="O25" s="9">
        <v>217033028.06</v>
      </c>
      <c r="P25" s="9">
        <v>18989009.96</v>
      </c>
      <c r="Q25" s="9">
        <v>17704801.19</v>
      </c>
      <c r="R25" s="9">
        <v>19855389.63</v>
      </c>
      <c r="S25" s="9">
        <v>19013961.82</v>
      </c>
      <c r="T25" s="10">
        <v>0.500657007923335</v>
      </c>
      <c r="U25" s="10">
        <v>0.47881109800211</v>
      </c>
      <c r="V25" s="10">
        <v>0.0457427835004699</v>
      </c>
      <c r="W25" s="10"/>
      <c r="X25" s="11"/>
      <c r="Y25" s="11"/>
      <c r="Z25" s="11"/>
      <c r="AA25" s="11"/>
      <c r="AB25" s="9">
        <v>216823909.84</v>
      </c>
      <c r="AC25" s="9">
        <v>19054231.85</v>
      </c>
      <c r="AD25" s="9">
        <v>20138652.7</v>
      </c>
      <c r="AE25" s="9">
        <v>19619706.49</v>
      </c>
      <c r="AF25" s="9">
        <v>18635442.39</v>
      </c>
      <c r="AG25" s="10">
        <v>0.489010591891166</v>
      </c>
      <c r="AH25" s="10">
        <v>0.474916441780063</v>
      </c>
      <c r="AI25" s="10">
        <v>0.0452434108961458</v>
      </c>
      <c r="AJ25" s="10"/>
      <c r="AK25" s="11"/>
      <c r="AL25" s="11"/>
      <c r="AM25" s="11"/>
      <c r="AN25" s="11"/>
      <c r="AO25" s="9">
        <v>220964978.86</v>
      </c>
      <c r="AP25" s="9">
        <v>19523199.66</v>
      </c>
      <c r="AQ25" s="9">
        <v>19740511.56</v>
      </c>
      <c r="AR25" s="9">
        <v>20266202.67</v>
      </c>
      <c r="AS25" s="9">
        <v>19322542.16</v>
      </c>
      <c r="AT25" s="10">
        <v>0.494861049840844</v>
      </c>
      <c r="AU25" s="10">
        <v>0.476718368868459</v>
      </c>
      <c r="AV25" s="10">
        <v>0.0458584042922936</v>
      </c>
      <c r="AW25" s="10"/>
      <c r="AX25" s="11"/>
      <c r="AY25" s="11"/>
      <c r="AZ25" s="11"/>
      <c r="BA25" s="11"/>
      <c r="BB25" s="9">
        <f t="shared" ref="BB25:BF25" si="32">SUM(B25,O25,)</f>
        <v>434753502.99</v>
      </c>
      <c r="BC25" s="9">
        <f t="shared" si="32"/>
        <v>37378939.8</v>
      </c>
      <c r="BD25" s="9">
        <f t="shared" si="32"/>
        <v>36584501.56</v>
      </c>
      <c r="BE25" s="9">
        <f t="shared" si="32"/>
        <v>38912878.56</v>
      </c>
      <c r="BF25" s="9">
        <f t="shared" si="32"/>
        <v>36958739.99</v>
      </c>
      <c r="BG25" s="10">
        <f t="shared" ref="BG25:BI25" si="33">AVERAGE(G25,T25,AT25,AG25)</f>
        <v>0.49629641439467</v>
      </c>
      <c r="BH25" s="10">
        <f t="shared" si="33"/>
        <v>0.477314251663185</v>
      </c>
      <c r="BI25" s="10">
        <f t="shared" si="33"/>
        <v>0.0456468455473448</v>
      </c>
      <c r="BJ25" s="11"/>
      <c r="BK25" s="11"/>
      <c r="BL25" s="11"/>
      <c r="BM25" s="11"/>
      <c r="BN25" s="11"/>
    </row>
    <row r="26" s="1" customFormat="1" spans="1:66">
      <c r="A26" s="9" t="s">
        <v>38</v>
      </c>
      <c r="B26" s="9">
        <v>262898789.83</v>
      </c>
      <c r="C26" s="9">
        <v>21672864.49</v>
      </c>
      <c r="D26" s="9">
        <v>21716855.65</v>
      </c>
      <c r="E26" s="9">
        <v>23913817.71</v>
      </c>
      <c r="F26" s="9">
        <v>21314299.9</v>
      </c>
      <c r="G26" s="10">
        <v>0.485680633493818</v>
      </c>
      <c r="H26" s="10">
        <v>0.447991803347378</v>
      </c>
      <c r="I26" s="10">
        <v>0.0462364627999618</v>
      </c>
      <c r="J26" s="10"/>
      <c r="K26" s="11"/>
      <c r="L26" s="11"/>
      <c r="M26" s="11"/>
      <c r="N26" s="11"/>
      <c r="O26" s="9">
        <v>256473736.46</v>
      </c>
      <c r="P26" s="9">
        <v>21876446.48</v>
      </c>
      <c r="Q26" s="9">
        <v>20794040.19</v>
      </c>
      <c r="R26" s="9">
        <v>23716876.75</v>
      </c>
      <c r="S26" s="9">
        <v>21249932.77</v>
      </c>
      <c r="T26" s="10">
        <v>0.485680633493818</v>
      </c>
      <c r="U26" s="10">
        <v>0.447991803347378</v>
      </c>
      <c r="V26" s="10">
        <v>0.0462364627999618</v>
      </c>
      <c r="W26" s="10"/>
      <c r="X26" s="11"/>
      <c r="Y26" s="11"/>
      <c r="Z26" s="11"/>
      <c r="AA26" s="11"/>
      <c r="AB26" s="9">
        <v>254252821.45</v>
      </c>
      <c r="AC26" s="9">
        <v>21741295.87</v>
      </c>
      <c r="AD26" s="9">
        <v>22971145.37</v>
      </c>
      <c r="AE26" s="9">
        <v>23603117.36</v>
      </c>
      <c r="AF26" s="9">
        <v>21539200.1</v>
      </c>
      <c r="AG26" s="10">
        <v>0.49535226025145</v>
      </c>
      <c r="AH26" s="10">
        <v>0.456278714618059</v>
      </c>
      <c r="AI26" s="10">
        <v>0.0464166281919543</v>
      </c>
      <c r="AJ26" s="10"/>
      <c r="AK26" s="11"/>
      <c r="AL26" s="11"/>
      <c r="AM26" s="11"/>
      <c r="AN26" s="11"/>
      <c r="AO26" s="9">
        <v>267221843.88</v>
      </c>
      <c r="AP26" s="9">
        <v>22700339.4</v>
      </c>
      <c r="AQ26" s="9">
        <v>22582673.67</v>
      </c>
      <c r="AR26" s="9">
        <v>24397987.2</v>
      </c>
      <c r="AS26" s="9">
        <v>21486798.28</v>
      </c>
      <c r="AT26" s="10">
        <v>0.473270419031708</v>
      </c>
      <c r="AU26" s="10">
        <v>0.440339567847629</v>
      </c>
      <c r="AV26" s="10">
        <v>0.0456511841355235</v>
      </c>
      <c r="AW26" s="10"/>
      <c r="AX26" s="11"/>
      <c r="AY26" s="11"/>
      <c r="AZ26" s="11"/>
      <c r="BA26" s="11"/>
      <c r="BB26" s="9">
        <f t="shared" ref="BB26:BF26" si="34">SUM(B26,O26,)</f>
        <v>519372526.29</v>
      </c>
      <c r="BC26" s="9">
        <f t="shared" si="34"/>
        <v>43549310.97</v>
      </c>
      <c r="BD26" s="9">
        <f t="shared" si="34"/>
        <v>42510895.84</v>
      </c>
      <c r="BE26" s="9">
        <f t="shared" si="34"/>
        <v>47630694.46</v>
      </c>
      <c r="BF26" s="9">
        <f t="shared" si="34"/>
        <v>42564232.67</v>
      </c>
      <c r="BG26" s="10">
        <f t="shared" ref="BG26:BI26" si="35">AVERAGE(G26,T26,AT26,AG26)</f>
        <v>0.484995986567698</v>
      </c>
      <c r="BH26" s="10">
        <f t="shared" si="35"/>
        <v>0.448150472290111</v>
      </c>
      <c r="BI26" s="10">
        <f t="shared" si="35"/>
        <v>0.0461351844818504</v>
      </c>
      <c r="BJ26" s="11"/>
      <c r="BK26" s="11"/>
      <c r="BL26" s="11"/>
      <c r="BM26" s="11"/>
      <c r="BN26" s="11"/>
    </row>
    <row r="27" s="1" customFormat="1" spans="1:66">
      <c r="A27" s="9" t="s">
        <v>37</v>
      </c>
      <c r="B27" s="9">
        <v>417945987.91</v>
      </c>
      <c r="C27" s="9">
        <v>31987417.17</v>
      </c>
      <c r="D27" s="9">
        <v>35470950.52</v>
      </c>
      <c r="E27" s="9">
        <v>33975469.75</v>
      </c>
      <c r="F27" s="9">
        <v>31356151.83</v>
      </c>
      <c r="G27" s="10">
        <v>0.98425091323308</v>
      </c>
      <c r="H27" s="10">
        <v>0.952864866175601</v>
      </c>
      <c r="I27" s="10">
        <v>0.0774020322327778</v>
      </c>
      <c r="J27" s="10"/>
      <c r="K27" s="11"/>
      <c r="L27" s="11"/>
      <c r="M27" s="11"/>
      <c r="N27" s="11"/>
      <c r="O27" s="9">
        <v>416526172.6</v>
      </c>
      <c r="P27" s="9">
        <v>32001998.38</v>
      </c>
      <c r="Q27" s="9">
        <v>29902392.11</v>
      </c>
      <c r="R27" s="9">
        <v>34198035.3</v>
      </c>
      <c r="S27" s="9">
        <v>31003937.54</v>
      </c>
      <c r="T27" s="10">
        <v>0.98425091323308</v>
      </c>
      <c r="U27" s="10">
        <v>0.952864866175601</v>
      </c>
      <c r="V27" s="10">
        <v>0.0774020322327778</v>
      </c>
      <c r="W27" s="10"/>
      <c r="X27" s="11"/>
      <c r="Y27" s="11"/>
      <c r="Z27" s="11"/>
      <c r="AA27" s="11"/>
      <c r="AB27" s="9">
        <v>407311627.66</v>
      </c>
      <c r="AC27" s="9">
        <v>32023878.41</v>
      </c>
      <c r="AD27" s="9">
        <v>36659200.31</v>
      </c>
      <c r="AE27" s="9">
        <v>34598872.9</v>
      </c>
      <c r="AF27" s="9">
        <v>31498726.52</v>
      </c>
      <c r="AG27" s="10">
        <v>0.99171898622511</v>
      </c>
      <c r="AH27" s="10">
        <v>0.954786193728821</v>
      </c>
      <c r="AI27" s="10">
        <v>0.0810998238328867</v>
      </c>
      <c r="AJ27" s="10"/>
      <c r="AK27" s="11"/>
      <c r="AL27" s="11"/>
      <c r="AM27" s="11"/>
      <c r="AN27" s="11"/>
      <c r="AO27" s="9">
        <v>421449511.25</v>
      </c>
      <c r="AP27" s="9">
        <v>33193388.25</v>
      </c>
      <c r="AQ27" s="9">
        <v>34161413.92</v>
      </c>
      <c r="AR27" s="9">
        <v>36027367.88</v>
      </c>
      <c r="AS27" s="9">
        <v>31938590.38</v>
      </c>
      <c r="AT27" s="10">
        <v>0.980917187990799</v>
      </c>
      <c r="AU27" s="10">
        <v>0.942752934855941</v>
      </c>
      <c r="AV27" s="10">
        <v>0.0839989729733594</v>
      </c>
      <c r="AW27" s="10"/>
      <c r="AX27" s="11"/>
      <c r="AY27" s="11"/>
      <c r="AZ27" s="11"/>
      <c r="BA27" s="11"/>
      <c r="BB27" s="9">
        <f t="shared" ref="BB27:BF27" si="36">SUM(B27,O27,)</f>
        <v>834472160.51</v>
      </c>
      <c r="BC27" s="9">
        <f t="shared" si="36"/>
        <v>63989415.5499999</v>
      </c>
      <c r="BD27" s="9">
        <f t="shared" si="36"/>
        <v>65373342.6299999</v>
      </c>
      <c r="BE27" s="9">
        <f t="shared" si="36"/>
        <v>68173505.0499999</v>
      </c>
      <c r="BF27" s="9">
        <f t="shared" si="36"/>
        <v>62360089.3699999</v>
      </c>
      <c r="BG27" s="10">
        <f t="shared" ref="BG27:BI27" si="37">AVERAGE(G27,T27,AT27,AG27)</f>
        <v>0.985284500170517</v>
      </c>
      <c r="BH27" s="10">
        <f t="shared" si="37"/>
        <v>0.950817215233991</v>
      </c>
      <c r="BI27" s="10">
        <f t="shared" si="37"/>
        <v>0.0799757153179504</v>
      </c>
      <c r="BJ27" s="11"/>
      <c r="BK27" s="11"/>
      <c r="BL27" s="11"/>
      <c r="BM27" s="11"/>
      <c r="BN27" s="11"/>
    </row>
    <row r="28" s="1" customFormat="1" spans="1:66">
      <c r="A28" s="12" t="s">
        <v>39</v>
      </c>
      <c r="B28" s="12">
        <v>898565252.67</v>
      </c>
      <c r="C28" s="12">
        <v>72050211.5</v>
      </c>
      <c r="D28" s="12">
        <v>76067506.54</v>
      </c>
      <c r="E28" s="12">
        <v>76946776.39</v>
      </c>
      <c r="F28" s="12">
        <v>70615229.9</v>
      </c>
      <c r="G28" s="13">
        <v>0.988975990494727</v>
      </c>
      <c r="H28" s="13">
        <v>0.958024000063001</v>
      </c>
      <c r="I28" s="13">
        <v>0.0800262673701482</v>
      </c>
      <c r="J28" s="13"/>
      <c r="K28" s="11"/>
      <c r="L28" s="11"/>
      <c r="M28" s="11"/>
      <c r="N28" s="11"/>
      <c r="O28" s="12">
        <v>890032937.12</v>
      </c>
      <c r="P28" s="12">
        <v>72867454.82</v>
      </c>
      <c r="Q28" s="12">
        <v>68401233.49</v>
      </c>
      <c r="R28" s="12">
        <v>77770301.6799999</v>
      </c>
      <c r="S28" s="12">
        <v>71267832.13</v>
      </c>
      <c r="T28" s="13">
        <v>0.988975990494727</v>
      </c>
      <c r="U28" s="13">
        <v>0.958024000063001</v>
      </c>
      <c r="V28" s="13">
        <v>0.0800262673701482</v>
      </c>
      <c r="W28" s="13"/>
      <c r="X28" s="11"/>
      <c r="Y28" s="11"/>
      <c r="Z28" s="11"/>
      <c r="AA28" s="11"/>
      <c r="AB28" s="12">
        <v>878388358.95</v>
      </c>
      <c r="AC28" s="12">
        <v>72819406.13</v>
      </c>
      <c r="AD28" s="12">
        <v>79768998.38</v>
      </c>
      <c r="AE28" s="12">
        <v>77821696.75</v>
      </c>
      <c r="AF28" s="12">
        <v>71673369.01</v>
      </c>
      <c r="AG28" s="13">
        <v>0.992096700823271</v>
      </c>
      <c r="AH28" s="13">
        <v>0.96033644360087</v>
      </c>
      <c r="AI28" s="13">
        <v>0.0829128986529468</v>
      </c>
      <c r="AJ28" s="13"/>
      <c r="AK28" s="11"/>
      <c r="AL28" s="11"/>
      <c r="AM28" s="11"/>
      <c r="AN28" s="11"/>
      <c r="AO28" s="12">
        <v>909636333.99</v>
      </c>
      <c r="AP28" s="12">
        <v>75416927.31</v>
      </c>
      <c r="AQ28" s="12">
        <v>76484599.15</v>
      </c>
      <c r="AR28" s="12">
        <v>80691557.75</v>
      </c>
      <c r="AS28" s="12">
        <v>72747930.82</v>
      </c>
      <c r="AT28" s="13">
        <v>0.982230675647972</v>
      </c>
      <c r="AU28" s="13">
        <v>0.950584502834185</v>
      </c>
      <c r="AV28" s="13">
        <v>0.0856099123168677</v>
      </c>
      <c r="AW28" s="13"/>
      <c r="AX28" s="11"/>
      <c r="AY28" s="11"/>
      <c r="AZ28" s="11"/>
      <c r="BA28" s="11"/>
      <c r="BB28" s="12">
        <v>898565252.67</v>
      </c>
      <c r="BC28" s="12">
        <v>72050211.5</v>
      </c>
      <c r="BD28" s="12">
        <v>76067506.54</v>
      </c>
      <c r="BE28" s="12">
        <v>76946776.39</v>
      </c>
      <c r="BF28" s="12">
        <v>70615229.9</v>
      </c>
      <c r="BG28" s="13">
        <v>0.988975990494727</v>
      </c>
      <c r="BH28" s="13">
        <v>0.958024000063001</v>
      </c>
      <c r="BI28" s="13">
        <v>0.0800262673701482</v>
      </c>
      <c r="BJ28" s="11"/>
      <c r="BK28" s="11"/>
      <c r="BL28" s="11"/>
      <c r="BM28" s="11"/>
      <c r="BN28" s="11"/>
    </row>
    <row r="29" s="1" customFormat="1" spans="1:66">
      <c r="A29" s="14" t="s">
        <v>40</v>
      </c>
      <c r="B29" s="14">
        <v>4822867813.03</v>
      </c>
      <c r="C29" s="14">
        <v>326955734.74</v>
      </c>
      <c r="D29" s="14">
        <v>379086583.79</v>
      </c>
      <c r="E29" s="14">
        <v>426333231.01</v>
      </c>
      <c r="F29" s="14">
        <v>311967327.01</v>
      </c>
      <c r="G29" s="15">
        <v>0.990832001601798</v>
      </c>
      <c r="H29" s="15">
        <v>0.80744268297561</v>
      </c>
      <c r="I29" s="15">
        <v>0.0835020738635707</v>
      </c>
      <c r="J29" s="15"/>
      <c r="K29" s="11"/>
      <c r="L29" s="11"/>
      <c r="M29" s="11"/>
      <c r="N29" s="11"/>
      <c r="O29" s="14">
        <v>4710922925.94</v>
      </c>
      <c r="P29" s="14">
        <v>330260918.41</v>
      </c>
      <c r="Q29" s="14">
        <v>372543685.82</v>
      </c>
      <c r="R29" s="14">
        <v>437653143.53</v>
      </c>
      <c r="S29" s="14">
        <v>331812797.24</v>
      </c>
      <c r="T29" s="15">
        <v>0.990832001601798</v>
      </c>
      <c r="U29" s="15">
        <v>0.80744268297561</v>
      </c>
      <c r="V29" s="15">
        <v>0.0835020738635707</v>
      </c>
      <c r="W29" s="15"/>
      <c r="X29" s="11"/>
      <c r="Y29" s="11"/>
      <c r="Z29" s="11"/>
      <c r="AA29" s="11"/>
      <c r="AB29" s="14">
        <v>4569455549.38</v>
      </c>
      <c r="AC29" s="14">
        <v>331815310.01</v>
      </c>
      <c r="AD29" s="14">
        <v>388192978.4</v>
      </c>
      <c r="AE29" s="14">
        <v>435926882.41</v>
      </c>
      <c r="AF29" s="14">
        <v>320707058.38</v>
      </c>
      <c r="AG29" s="15">
        <v>0.960845617506323</v>
      </c>
      <c r="AH29" s="15">
        <v>0.79047758759098</v>
      </c>
      <c r="AI29" s="15">
        <v>0.0862394781427223</v>
      </c>
      <c r="AJ29" s="15"/>
      <c r="AK29" s="11"/>
      <c r="AL29" s="11"/>
      <c r="AM29" s="11"/>
      <c r="AN29" s="11"/>
      <c r="AO29" s="14">
        <v>4654200382.26</v>
      </c>
      <c r="AP29" s="14">
        <v>337331735.81</v>
      </c>
      <c r="AQ29" s="14">
        <v>367484026.44</v>
      </c>
      <c r="AR29" s="14">
        <v>438915590.55</v>
      </c>
      <c r="AS29" s="14">
        <v>317456209.36</v>
      </c>
      <c r="AT29" s="15">
        <v>0.911246124892742</v>
      </c>
      <c r="AU29" s="15">
        <v>0.753958202764146</v>
      </c>
      <c r="AV29" s="15">
        <v>0.084018952789236</v>
      </c>
      <c r="AW29" s="15"/>
      <c r="AX29" s="11"/>
      <c r="AY29" s="11"/>
      <c r="AZ29" s="11"/>
      <c r="BA29" s="11"/>
      <c r="BB29" s="14">
        <v>4822867813.03</v>
      </c>
      <c r="BC29" s="14">
        <v>326955734.74</v>
      </c>
      <c r="BD29" s="14">
        <v>379086583.79</v>
      </c>
      <c r="BE29" s="14">
        <v>426333231.01</v>
      </c>
      <c r="BF29" s="14">
        <v>311967327.01</v>
      </c>
      <c r="BG29" s="15">
        <v>0.990832001601798</v>
      </c>
      <c r="BH29" s="15">
        <v>0.80744268297561</v>
      </c>
      <c r="BI29" s="15">
        <v>0.0835020738635707</v>
      </c>
      <c r="BJ29" s="11"/>
      <c r="BK29" s="11"/>
      <c r="BL29" s="11"/>
      <c r="BM29" s="11"/>
      <c r="BN29" s="11"/>
    </row>
    <row r="30" s="1" customFormat="1" spans="1:66">
      <c r="A30" s="9" t="s">
        <v>42</v>
      </c>
      <c r="B30" s="9">
        <v>357488788.7</v>
      </c>
      <c r="C30" s="9">
        <v>27574314.21</v>
      </c>
      <c r="D30" s="9">
        <v>27275053.91</v>
      </c>
      <c r="E30" s="9">
        <v>30833353</v>
      </c>
      <c r="F30" s="9">
        <v>26610961.05</v>
      </c>
      <c r="G30" s="10">
        <v>0.491453688737939</v>
      </c>
      <c r="H30" s="10">
        <v>0.431496730675704</v>
      </c>
      <c r="I30" s="10">
        <v>0.0447775656651441</v>
      </c>
      <c r="J30" s="10"/>
      <c r="K30" s="11"/>
      <c r="L30" s="11"/>
      <c r="M30" s="11"/>
      <c r="N30" s="11"/>
      <c r="O30" s="9">
        <v>356991387.15</v>
      </c>
      <c r="P30" s="9">
        <v>28070045.97</v>
      </c>
      <c r="Q30" s="9">
        <v>26028726.52</v>
      </c>
      <c r="R30" s="9">
        <v>31970410.56</v>
      </c>
      <c r="S30" s="9">
        <v>27590255.27</v>
      </c>
      <c r="T30" s="10">
        <v>0.491453688737939</v>
      </c>
      <c r="U30" s="10">
        <v>0.431496730675704</v>
      </c>
      <c r="V30" s="10">
        <v>0.0447775656651441</v>
      </c>
      <c r="W30" s="10"/>
      <c r="X30" s="11"/>
      <c r="Y30" s="11"/>
      <c r="Z30" s="11"/>
      <c r="AA30" s="11"/>
      <c r="AB30" s="9">
        <v>349822528.05</v>
      </c>
      <c r="AC30" s="9">
        <v>28152967.47</v>
      </c>
      <c r="AD30" s="9">
        <v>31963331.79</v>
      </c>
      <c r="AE30" s="9">
        <v>31627914.31</v>
      </c>
      <c r="AF30" s="9">
        <v>27852217.64</v>
      </c>
      <c r="AG30" s="10">
        <v>0.494658647790495</v>
      </c>
      <c r="AH30" s="10">
        <v>0.440310691482963</v>
      </c>
      <c r="AI30" s="10">
        <v>0.0452056568316255</v>
      </c>
      <c r="AJ30" s="10"/>
      <c r="AK30" s="11"/>
      <c r="AL30" s="11"/>
      <c r="AM30" s="11"/>
      <c r="AN30" s="11"/>
      <c r="AO30" s="9">
        <v>353884894.75</v>
      </c>
      <c r="AP30" s="9">
        <v>28601770.82</v>
      </c>
      <c r="AQ30" s="9">
        <v>28608398.31</v>
      </c>
      <c r="AR30" s="9">
        <v>32092611.68</v>
      </c>
      <c r="AS30" s="9">
        <v>27333848.46</v>
      </c>
      <c r="AT30" s="10">
        <v>0.977777694990144</v>
      </c>
      <c r="AU30" s="10">
        <v>0.92568841857901</v>
      </c>
      <c r="AV30" s="10">
        <v>0.0699406967184659</v>
      </c>
      <c r="AW30" s="10"/>
      <c r="AX30" s="11"/>
      <c r="AY30" s="11"/>
      <c r="AZ30" s="11"/>
      <c r="BA30" s="11"/>
      <c r="BB30" s="9">
        <f t="shared" ref="BB30:BF30" si="38">SUM(B30,O30,)</f>
        <v>714480175.849999</v>
      </c>
      <c r="BC30" s="9">
        <f t="shared" si="38"/>
        <v>55644360.1799999</v>
      </c>
      <c r="BD30" s="9">
        <f t="shared" si="38"/>
        <v>53303780.43</v>
      </c>
      <c r="BE30" s="9">
        <f t="shared" si="38"/>
        <v>62803763.5599999</v>
      </c>
      <c r="BF30" s="9">
        <f t="shared" si="38"/>
        <v>54201216.32</v>
      </c>
      <c r="BG30" s="10">
        <f t="shared" ref="BG30:BI30" si="39">AVERAGE(G30,T30,AT30,AG30)</f>
        <v>0.613835930064129</v>
      </c>
      <c r="BH30" s="10">
        <f t="shared" si="39"/>
        <v>0.557248142853345</v>
      </c>
      <c r="BI30" s="10">
        <f t="shared" si="39"/>
        <v>0.0511753712200949</v>
      </c>
      <c r="BJ30" s="11"/>
      <c r="BK30" s="11"/>
      <c r="BL30" s="11"/>
      <c r="BM30" s="11"/>
      <c r="BN30" s="11"/>
    </row>
    <row r="31" s="1" customFormat="1" spans="1:66">
      <c r="A31" s="9" t="s">
        <v>41</v>
      </c>
      <c r="B31" s="9">
        <v>357862511.47</v>
      </c>
      <c r="C31" s="9">
        <v>27683108.37</v>
      </c>
      <c r="D31" s="9">
        <v>26521249.07</v>
      </c>
      <c r="E31" s="9">
        <v>31394768.83</v>
      </c>
      <c r="F31" s="9">
        <v>24843992.68</v>
      </c>
      <c r="G31" s="10">
        <v>1.05579060144276</v>
      </c>
      <c r="H31" s="10">
        <v>0.894132614346826</v>
      </c>
      <c r="I31" s="10">
        <v>0.0922538888529897</v>
      </c>
      <c r="J31" s="10"/>
      <c r="K31" s="11"/>
      <c r="L31" s="11"/>
      <c r="M31" s="11"/>
      <c r="N31" s="11"/>
      <c r="O31" s="9">
        <v>352031879.58</v>
      </c>
      <c r="P31" s="9">
        <v>27838427.2</v>
      </c>
      <c r="Q31" s="9">
        <v>24371990.67</v>
      </c>
      <c r="R31" s="9">
        <v>33746038.01</v>
      </c>
      <c r="S31" s="9">
        <v>29095988.37</v>
      </c>
      <c r="T31" s="10">
        <v>1.05579060144276</v>
      </c>
      <c r="U31" s="10">
        <v>0.894132614346826</v>
      </c>
      <c r="V31" s="10">
        <v>0.0922538888529897</v>
      </c>
      <c r="W31" s="10"/>
      <c r="X31" s="11"/>
      <c r="Y31" s="11"/>
      <c r="Z31" s="11"/>
      <c r="AA31" s="11"/>
      <c r="AB31" s="9">
        <v>347633184.82</v>
      </c>
      <c r="AC31" s="9">
        <v>28277986.06</v>
      </c>
      <c r="AD31" s="9">
        <v>31765419.27</v>
      </c>
      <c r="AE31" s="9">
        <v>31898906.47</v>
      </c>
      <c r="AF31" s="9">
        <v>26720935.69</v>
      </c>
      <c r="AG31" s="10">
        <v>0.973821470922438</v>
      </c>
      <c r="AH31" s="10">
        <v>0.882370884880749</v>
      </c>
      <c r="AI31" s="10">
        <v>0.0904279194161169</v>
      </c>
      <c r="AJ31" s="10"/>
      <c r="AK31" s="11"/>
      <c r="AL31" s="11"/>
      <c r="AM31" s="11"/>
      <c r="AN31" s="11"/>
      <c r="AO31" s="9">
        <v>358858438.22</v>
      </c>
      <c r="AP31" s="9">
        <v>29083037.86</v>
      </c>
      <c r="AQ31" s="9">
        <v>32105878.86</v>
      </c>
      <c r="AR31" s="9">
        <v>33353160.2</v>
      </c>
      <c r="AS31" s="9">
        <v>25098320.99</v>
      </c>
      <c r="AT31" s="10">
        <v>0.737700419103982</v>
      </c>
      <c r="AU31" s="10">
        <v>0.659549664683389</v>
      </c>
      <c r="AV31" s="10">
        <v>0.0938484300513437</v>
      </c>
      <c r="AW31" s="10"/>
      <c r="AX31" s="11"/>
      <c r="AY31" s="11"/>
      <c r="AZ31" s="11"/>
      <c r="BA31" s="11"/>
      <c r="BB31" s="9">
        <f t="shared" ref="BB31:BF31" si="40">SUM(B31,O31,)</f>
        <v>709894391.05</v>
      </c>
      <c r="BC31" s="9">
        <f t="shared" si="40"/>
        <v>55521535.57</v>
      </c>
      <c r="BD31" s="9">
        <f t="shared" si="40"/>
        <v>50893239.74</v>
      </c>
      <c r="BE31" s="9">
        <f t="shared" si="40"/>
        <v>65140806.84</v>
      </c>
      <c r="BF31" s="9">
        <f t="shared" si="40"/>
        <v>53939981.05</v>
      </c>
      <c r="BG31" s="10">
        <f t="shared" ref="BG31:BI31" si="41">AVERAGE(G31,T31,AT31,AG31)</f>
        <v>0.955775773227984</v>
      </c>
      <c r="BH31" s="10">
        <f t="shared" si="41"/>
        <v>0.832546444564448</v>
      </c>
      <c r="BI31" s="10">
        <f t="shared" si="41"/>
        <v>0.09219603179336</v>
      </c>
      <c r="BJ31" s="11"/>
      <c r="BK31" s="11"/>
      <c r="BL31" s="11"/>
      <c r="BM31" s="11"/>
      <c r="BN31" s="11"/>
    </row>
    <row r="32" s="1" customFormat="1" spans="1:66">
      <c r="A32" s="9" t="s">
        <v>43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  <c r="H32" s="10">
        <v>0</v>
      </c>
      <c r="I32" s="10">
        <v>0</v>
      </c>
      <c r="J32" s="10"/>
      <c r="K32" s="11"/>
      <c r="L32" s="11"/>
      <c r="M32" s="11"/>
      <c r="N32" s="11"/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0">
        <v>0</v>
      </c>
      <c r="W32" s="10"/>
      <c r="X32" s="11"/>
      <c r="Y32" s="11"/>
      <c r="Z32" s="11"/>
      <c r="AA32" s="11"/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10">
        <v>0</v>
      </c>
      <c r="AH32" s="10">
        <v>0</v>
      </c>
      <c r="AI32" s="10">
        <v>0</v>
      </c>
      <c r="AJ32" s="10"/>
      <c r="AK32" s="11"/>
      <c r="AL32" s="11"/>
      <c r="AM32" s="11"/>
      <c r="AN32" s="11"/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10">
        <v>0</v>
      </c>
      <c r="AU32" s="10">
        <v>0</v>
      </c>
      <c r="AV32" s="10">
        <v>0</v>
      </c>
      <c r="AW32" s="10"/>
      <c r="AX32" s="11"/>
      <c r="AY32" s="11"/>
      <c r="AZ32" s="11"/>
      <c r="BA32" s="11"/>
      <c r="BB32" s="9">
        <f t="shared" ref="BB32:BF32" si="42">SUM(B32,O32,)</f>
        <v>0</v>
      </c>
      <c r="BC32" s="9">
        <f t="shared" si="42"/>
        <v>0</v>
      </c>
      <c r="BD32" s="9">
        <f t="shared" si="42"/>
        <v>0</v>
      </c>
      <c r="BE32" s="9">
        <f t="shared" si="42"/>
        <v>0</v>
      </c>
      <c r="BF32" s="9">
        <f t="shared" si="42"/>
        <v>0</v>
      </c>
      <c r="BG32" s="10">
        <f t="shared" ref="BG32:BI32" si="43">AVERAGE(G32,T32,AT32,AG32)</f>
        <v>0</v>
      </c>
      <c r="BH32" s="10">
        <f t="shared" si="43"/>
        <v>0</v>
      </c>
      <c r="BI32" s="10">
        <f t="shared" si="43"/>
        <v>0</v>
      </c>
      <c r="BJ32" s="11"/>
      <c r="BK32" s="11"/>
      <c r="BL32" s="11"/>
      <c r="BM32" s="11"/>
      <c r="BN32" s="11"/>
    </row>
    <row r="33" s="1" customFormat="1" spans="1:66">
      <c r="A33" s="12" t="s">
        <v>44</v>
      </c>
      <c r="B33" s="12">
        <v>715351300.17</v>
      </c>
      <c r="C33" s="12">
        <v>55257422.5799999</v>
      </c>
      <c r="D33" s="12">
        <v>53796302.98</v>
      </c>
      <c r="E33" s="12">
        <v>62228121.83</v>
      </c>
      <c r="F33" s="12">
        <v>51454953.73</v>
      </c>
      <c r="G33" s="13">
        <v>1.04003951926259</v>
      </c>
      <c r="H33" s="13">
        <v>0.895796076213947</v>
      </c>
      <c r="I33" s="13">
        <v>0.0904076381878471</v>
      </c>
      <c r="J33" s="13"/>
      <c r="K33" s="11"/>
      <c r="L33" s="11"/>
      <c r="M33" s="11"/>
      <c r="N33" s="11"/>
      <c r="O33" s="12">
        <v>709023266.73</v>
      </c>
      <c r="P33" s="12">
        <v>55908473.17</v>
      </c>
      <c r="Q33" s="12">
        <v>50400717.19</v>
      </c>
      <c r="R33" s="12">
        <v>65716448.57</v>
      </c>
      <c r="S33" s="12">
        <v>56686243.64</v>
      </c>
      <c r="T33" s="13">
        <v>1.04003951926259</v>
      </c>
      <c r="U33" s="13">
        <v>0.895796076213947</v>
      </c>
      <c r="V33" s="13">
        <v>0.0904076381878471</v>
      </c>
      <c r="W33" s="13"/>
      <c r="X33" s="11"/>
      <c r="Y33" s="11"/>
      <c r="Z33" s="11"/>
      <c r="AA33" s="11"/>
      <c r="AB33" s="12">
        <v>697455712.87</v>
      </c>
      <c r="AC33" s="12">
        <v>56430953.53</v>
      </c>
      <c r="AD33" s="12">
        <v>63728751.06</v>
      </c>
      <c r="AE33" s="12">
        <v>63526820.78</v>
      </c>
      <c r="AF33" s="12">
        <v>54573153.33</v>
      </c>
      <c r="AG33" s="13">
        <v>0.986777443981047</v>
      </c>
      <c r="AH33" s="13">
        <v>0.89556870125906</v>
      </c>
      <c r="AI33" s="13">
        <v>0.0900107976883653</v>
      </c>
      <c r="AJ33" s="13"/>
      <c r="AK33" s="11"/>
      <c r="AL33" s="11"/>
      <c r="AM33" s="11"/>
      <c r="AN33" s="11"/>
      <c r="AO33" s="12">
        <v>712743332.969999</v>
      </c>
      <c r="AP33" s="12">
        <v>57684808.68</v>
      </c>
      <c r="AQ33" s="12">
        <v>60714277.17</v>
      </c>
      <c r="AR33" s="12">
        <v>65445771.88</v>
      </c>
      <c r="AS33" s="12">
        <v>52432169.45</v>
      </c>
      <c r="AT33" s="13">
        <v>0.762113925154095</v>
      </c>
      <c r="AU33" s="13">
        <v>0.687339488914443</v>
      </c>
      <c r="AV33" s="13">
        <v>0.0920735237959237</v>
      </c>
      <c r="AW33" s="13"/>
      <c r="AX33" s="11"/>
      <c r="AY33" s="11"/>
      <c r="AZ33" s="11"/>
      <c r="BA33" s="11"/>
      <c r="BB33" s="12">
        <v>715351300.17</v>
      </c>
      <c r="BC33" s="12">
        <v>55257422.5799999</v>
      </c>
      <c r="BD33" s="12">
        <v>53796302.98</v>
      </c>
      <c r="BE33" s="12">
        <v>62228121.83</v>
      </c>
      <c r="BF33" s="12">
        <v>51454953.73</v>
      </c>
      <c r="BG33" s="13">
        <v>1.04003951926259</v>
      </c>
      <c r="BH33" s="13">
        <v>0.895796076213947</v>
      </c>
      <c r="BI33" s="13">
        <v>0.0904076381878471</v>
      </c>
      <c r="BJ33" s="11"/>
      <c r="BK33" s="11"/>
      <c r="BL33" s="11"/>
      <c r="BM33" s="11"/>
      <c r="BN33" s="11"/>
    </row>
    <row r="34" s="1" customFormat="1" spans="1:66">
      <c r="A34" s="9" t="s">
        <v>46</v>
      </c>
      <c r="B34" s="9">
        <v>842741581.05</v>
      </c>
      <c r="C34" s="9">
        <v>51463005.7299999</v>
      </c>
      <c r="D34" s="9">
        <v>51191239.85</v>
      </c>
      <c r="E34" s="9">
        <v>59988346.2099999</v>
      </c>
      <c r="F34" s="9">
        <v>49617442.3699999</v>
      </c>
      <c r="G34" s="10">
        <v>1.06041987523587</v>
      </c>
      <c r="H34" s="10">
        <v>0.686807614932598</v>
      </c>
      <c r="I34" s="10">
        <v>0.0963957560129873</v>
      </c>
      <c r="J34" s="10"/>
      <c r="K34" s="11"/>
      <c r="L34" s="11"/>
      <c r="M34" s="11"/>
      <c r="N34" s="11"/>
      <c r="O34" s="9">
        <v>829210092.2</v>
      </c>
      <c r="P34" s="9">
        <v>51847674.0999999</v>
      </c>
      <c r="Q34" s="9">
        <v>48878309.6199999</v>
      </c>
      <c r="R34" s="9">
        <v>60677165.2399999</v>
      </c>
      <c r="S34" s="9">
        <v>51464061.2099999</v>
      </c>
      <c r="T34" s="10">
        <v>1.06041987523587</v>
      </c>
      <c r="U34" s="10">
        <v>0.686807614932598</v>
      </c>
      <c r="V34" s="10">
        <v>0.0963957560129873</v>
      </c>
      <c r="W34" s="10"/>
      <c r="X34" s="11"/>
      <c r="Y34" s="11"/>
      <c r="Z34" s="11"/>
      <c r="AA34" s="11"/>
      <c r="AB34" s="9">
        <v>828482448.46</v>
      </c>
      <c r="AC34" s="9">
        <v>52028177.79</v>
      </c>
      <c r="AD34" s="9">
        <v>59896175.91</v>
      </c>
      <c r="AE34" s="9">
        <v>60084463.52</v>
      </c>
      <c r="AF34" s="9">
        <v>49914181.68</v>
      </c>
      <c r="AG34" s="10">
        <v>0.894437803838239</v>
      </c>
      <c r="AH34" s="10">
        <v>0.630534867056895</v>
      </c>
      <c r="AI34" s="10">
        <v>0.0931768555065143</v>
      </c>
      <c r="AJ34" s="10"/>
      <c r="AK34" s="11"/>
      <c r="AL34" s="11"/>
      <c r="AM34" s="11"/>
      <c r="AN34" s="11"/>
      <c r="AO34" s="9">
        <v>872669654.88</v>
      </c>
      <c r="AP34" s="9">
        <v>54143032.4799999</v>
      </c>
      <c r="AQ34" s="9">
        <v>62690757.8599999</v>
      </c>
      <c r="AR34" s="9">
        <v>63384063.4399999</v>
      </c>
      <c r="AS34" s="9">
        <v>52716633.8299999</v>
      </c>
      <c r="AT34" s="10">
        <v>0.968485472453169</v>
      </c>
      <c r="AU34" s="10">
        <v>0.653709040274089</v>
      </c>
      <c r="AV34" s="10">
        <v>0.0979486760353721</v>
      </c>
      <c r="AW34" s="10"/>
      <c r="AX34" s="11"/>
      <c r="AY34" s="11"/>
      <c r="AZ34" s="11"/>
      <c r="BA34" s="11"/>
      <c r="BB34" s="9">
        <f t="shared" ref="BB34:BF34" si="44">SUM(B34,O34,)</f>
        <v>1671951673.25</v>
      </c>
      <c r="BC34" s="9">
        <f t="shared" si="44"/>
        <v>103310679.83</v>
      </c>
      <c r="BD34" s="9">
        <f t="shared" si="44"/>
        <v>100069549.47</v>
      </c>
      <c r="BE34" s="9">
        <f t="shared" si="44"/>
        <v>120665511.45</v>
      </c>
      <c r="BF34" s="9">
        <f t="shared" si="44"/>
        <v>101081503.58</v>
      </c>
      <c r="BG34" s="10">
        <f t="shared" ref="BG34:BI34" si="45">AVERAGE(G34,T34,AT34,AG34)</f>
        <v>0.995940756690789</v>
      </c>
      <c r="BH34" s="10">
        <f t="shared" si="45"/>
        <v>0.664464784299045</v>
      </c>
      <c r="BI34" s="10">
        <f t="shared" si="45"/>
        <v>0.0959792608919652</v>
      </c>
      <c r="BJ34" s="11"/>
      <c r="BK34" s="11"/>
      <c r="BL34" s="11"/>
      <c r="BM34" s="11"/>
      <c r="BN34" s="11"/>
    </row>
    <row r="35" s="1" customFormat="1" spans="1:66">
      <c r="A35" s="9" t="s">
        <v>45</v>
      </c>
      <c r="B35" s="9">
        <v>368152000.22</v>
      </c>
      <c r="C35" s="9">
        <v>24363492</v>
      </c>
      <c r="D35" s="9">
        <v>27801783.7</v>
      </c>
      <c r="E35" s="9">
        <v>26708620.03</v>
      </c>
      <c r="F35" s="9">
        <v>23859796.51</v>
      </c>
      <c r="G35" s="10">
        <v>0.981826744318489</v>
      </c>
      <c r="H35" s="10">
        <v>0.910507385562433</v>
      </c>
      <c r="I35" s="10">
        <v>0.066522045203758</v>
      </c>
      <c r="J35" s="10"/>
      <c r="K35" s="11"/>
      <c r="L35" s="11"/>
      <c r="M35" s="11"/>
      <c r="N35" s="11"/>
      <c r="O35" s="9">
        <v>376521134.6</v>
      </c>
      <c r="P35" s="9">
        <v>25388848.47</v>
      </c>
      <c r="Q35" s="9">
        <v>23338915.58</v>
      </c>
      <c r="R35" s="9">
        <v>28184493.52</v>
      </c>
      <c r="S35" s="9">
        <v>25610131.74</v>
      </c>
      <c r="T35" s="10">
        <v>0.981826744318489</v>
      </c>
      <c r="U35" s="10">
        <v>0.910507385562433</v>
      </c>
      <c r="V35" s="10">
        <v>0.066522045203758</v>
      </c>
      <c r="W35" s="10"/>
      <c r="X35" s="11"/>
      <c r="Y35" s="11"/>
      <c r="Z35" s="11"/>
      <c r="AA35" s="11"/>
      <c r="AB35" s="9">
        <v>368510108.73</v>
      </c>
      <c r="AC35" s="9">
        <v>25228141.16</v>
      </c>
      <c r="AD35" s="9">
        <v>30746463.69</v>
      </c>
      <c r="AE35" s="9">
        <v>27538025.85</v>
      </c>
      <c r="AF35" s="9">
        <v>25269465.43</v>
      </c>
      <c r="AG35" s="10">
        <v>1.03638920241756</v>
      </c>
      <c r="AH35" s="10">
        <v>0.954871731618054</v>
      </c>
      <c r="AI35" s="10">
        <v>0.0669532392613602</v>
      </c>
      <c r="AJ35" s="10"/>
      <c r="AK35" s="11"/>
      <c r="AL35" s="11"/>
      <c r="AM35" s="11"/>
      <c r="AN35" s="11"/>
      <c r="AO35" s="9">
        <v>382478630.7</v>
      </c>
      <c r="AP35" s="9">
        <v>25586648.19</v>
      </c>
      <c r="AQ35" s="9">
        <v>27777605.87</v>
      </c>
      <c r="AR35" s="9">
        <v>27843581.3</v>
      </c>
      <c r="AS35" s="9">
        <v>23938731.72</v>
      </c>
      <c r="AT35" s="10">
        <v>0.918184955350533</v>
      </c>
      <c r="AU35" s="10">
        <v>0.87646550834361</v>
      </c>
      <c r="AV35" s="10">
        <v>0.063293196381972</v>
      </c>
      <c r="AW35" s="10"/>
      <c r="AX35" s="11"/>
      <c r="AY35" s="11"/>
      <c r="AZ35" s="11"/>
      <c r="BA35" s="11"/>
      <c r="BB35" s="9">
        <f t="shared" ref="BB35:BF35" si="46">SUM(B35,O35,)</f>
        <v>744673134.82</v>
      </c>
      <c r="BC35" s="9">
        <f t="shared" si="46"/>
        <v>49752340.47</v>
      </c>
      <c r="BD35" s="9">
        <f t="shared" si="46"/>
        <v>51140699.28</v>
      </c>
      <c r="BE35" s="9">
        <f t="shared" si="46"/>
        <v>54893113.55</v>
      </c>
      <c r="BF35" s="9">
        <f t="shared" si="46"/>
        <v>49469928.25</v>
      </c>
      <c r="BG35" s="10">
        <f t="shared" ref="BG35:BI35" si="47">AVERAGE(G35,T35,AT35,AG35)</f>
        <v>0.979556911601269</v>
      </c>
      <c r="BH35" s="10">
        <f t="shared" si="47"/>
        <v>0.913088002771633</v>
      </c>
      <c r="BI35" s="10">
        <f t="shared" si="47"/>
        <v>0.0658226315127121</v>
      </c>
      <c r="BJ35" s="11"/>
      <c r="BK35" s="11"/>
      <c r="BL35" s="11"/>
      <c r="BM35" s="11"/>
      <c r="BN35" s="11"/>
    </row>
    <row r="36" s="1" customFormat="1" spans="1:66">
      <c r="A36" s="12" t="s">
        <v>47</v>
      </c>
      <c r="B36" s="12">
        <v>1210893581.27</v>
      </c>
      <c r="C36" s="12">
        <v>75826497.7299999</v>
      </c>
      <c r="D36" s="12">
        <v>78993023.5499999</v>
      </c>
      <c r="E36" s="12">
        <v>86696966.2399999</v>
      </c>
      <c r="F36" s="12">
        <v>73477238.8799999</v>
      </c>
      <c r="G36" s="13">
        <v>1.01137541884735</v>
      </c>
      <c r="H36" s="13">
        <v>0.773245804953324</v>
      </c>
      <c r="I36" s="13">
        <v>0.0782312799977573</v>
      </c>
      <c r="J36" s="13"/>
      <c r="K36" s="11"/>
      <c r="L36" s="11"/>
      <c r="M36" s="11"/>
      <c r="N36" s="11"/>
      <c r="O36" s="12">
        <v>1205731226.8</v>
      </c>
      <c r="P36" s="12">
        <v>77236522.5699999</v>
      </c>
      <c r="Q36" s="12">
        <v>72217225.1999999</v>
      </c>
      <c r="R36" s="12">
        <v>88861658.7599999</v>
      </c>
      <c r="S36" s="12">
        <v>77074192.9499999</v>
      </c>
      <c r="T36" s="13">
        <v>1.01137541884735</v>
      </c>
      <c r="U36" s="13">
        <v>0.773245804953324</v>
      </c>
      <c r="V36" s="13">
        <v>0.0782312799977573</v>
      </c>
      <c r="W36" s="13"/>
      <c r="X36" s="11"/>
      <c r="Y36" s="11"/>
      <c r="Z36" s="11"/>
      <c r="AA36" s="11"/>
      <c r="AB36" s="12">
        <v>1196992557.19</v>
      </c>
      <c r="AC36" s="12">
        <v>77256318.95</v>
      </c>
      <c r="AD36" s="12">
        <v>90642639.6</v>
      </c>
      <c r="AE36" s="12">
        <v>87622489.37</v>
      </c>
      <c r="AF36" s="12">
        <v>75183647.11</v>
      </c>
      <c r="AG36" s="13">
        <v>0.977308384530604</v>
      </c>
      <c r="AH36" s="13">
        <v>0.776177414926115</v>
      </c>
      <c r="AI36" s="13">
        <v>0.0754889743983934</v>
      </c>
      <c r="AJ36" s="13"/>
      <c r="AK36" s="11"/>
      <c r="AL36" s="11"/>
      <c r="AM36" s="11"/>
      <c r="AN36" s="11"/>
      <c r="AO36" s="12">
        <v>1255148285.58</v>
      </c>
      <c r="AP36" s="12">
        <v>79729680.6699999</v>
      </c>
      <c r="AQ36" s="12">
        <v>90468363.7299999</v>
      </c>
      <c r="AR36" s="12">
        <v>91227644.7399999</v>
      </c>
      <c r="AS36" s="12">
        <v>76655365.5499999</v>
      </c>
      <c r="AT36" s="13">
        <v>0.942124123395365</v>
      </c>
      <c r="AU36" s="13">
        <v>0.754538834035532</v>
      </c>
      <c r="AV36" s="13">
        <v>0.073698231015284</v>
      </c>
      <c r="AW36" s="13"/>
      <c r="AX36" s="11"/>
      <c r="AY36" s="11"/>
      <c r="AZ36" s="11"/>
      <c r="BA36" s="11"/>
      <c r="BB36" s="12">
        <v>1210893581.27</v>
      </c>
      <c r="BC36" s="12">
        <v>75826497.7299999</v>
      </c>
      <c r="BD36" s="12">
        <v>78993023.5499999</v>
      </c>
      <c r="BE36" s="12">
        <v>86696966.2399999</v>
      </c>
      <c r="BF36" s="12">
        <v>73477238.8799999</v>
      </c>
      <c r="BG36" s="13">
        <v>1.01137541884735</v>
      </c>
      <c r="BH36" s="13">
        <v>0.773245804953324</v>
      </c>
      <c r="BI36" s="13">
        <v>0.0782312799977573</v>
      </c>
      <c r="BJ36" s="11"/>
      <c r="BK36" s="11"/>
      <c r="BL36" s="11"/>
      <c r="BM36" s="11"/>
      <c r="BN36" s="11"/>
    </row>
    <row r="37" s="1" customFormat="1" spans="1:66">
      <c r="A37" s="14" t="s">
        <v>48</v>
      </c>
      <c r="B37" s="14">
        <v>1926244881.44</v>
      </c>
      <c r="C37" s="14">
        <v>131083920.31</v>
      </c>
      <c r="D37" s="14">
        <v>132789326.53</v>
      </c>
      <c r="E37" s="14">
        <v>148925088.07</v>
      </c>
      <c r="F37" s="14">
        <v>124932192.61</v>
      </c>
      <c r="G37" s="15">
        <v>1.02311060339153</v>
      </c>
      <c r="H37" s="15">
        <v>0.813627429001678</v>
      </c>
      <c r="I37" s="15">
        <v>0.0826569152191142</v>
      </c>
      <c r="J37" s="15"/>
      <c r="K37" s="11"/>
      <c r="L37" s="11"/>
      <c r="M37" s="11"/>
      <c r="N37" s="11"/>
      <c r="O37" s="14">
        <v>1914754493.53</v>
      </c>
      <c r="P37" s="14">
        <v>133144995.74</v>
      </c>
      <c r="Q37" s="14">
        <v>122617942.39</v>
      </c>
      <c r="R37" s="14">
        <v>154578107.33</v>
      </c>
      <c r="S37" s="14">
        <v>133760436.59</v>
      </c>
      <c r="T37" s="15">
        <v>1.02311060339153</v>
      </c>
      <c r="U37" s="15">
        <v>0.813627429001678</v>
      </c>
      <c r="V37" s="15">
        <v>0.0826569152191142</v>
      </c>
      <c r="W37" s="15"/>
      <c r="X37" s="11"/>
      <c r="Y37" s="11"/>
      <c r="Z37" s="11"/>
      <c r="AA37" s="11"/>
      <c r="AB37" s="14">
        <v>1894448270.06</v>
      </c>
      <c r="AC37" s="14">
        <v>133687272.48</v>
      </c>
      <c r="AD37" s="14">
        <v>154371390.66</v>
      </c>
      <c r="AE37" s="14">
        <v>151149310.15</v>
      </c>
      <c r="AF37" s="14">
        <v>129756800.44</v>
      </c>
      <c r="AG37" s="15">
        <v>0.980805177574786</v>
      </c>
      <c r="AH37" s="15">
        <v>0.813596208705519</v>
      </c>
      <c r="AI37" s="15">
        <v>0.0804596893996075</v>
      </c>
      <c r="AJ37" s="15"/>
      <c r="AK37" s="11"/>
      <c r="AL37" s="11"/>
      <c r="AM37" s="11"/>
      <c r="AN37" s="11"/>
      <c r="AO37" s="14">
        <v>1967891618.55</v>
      </c>
      <c r="AP37" s="14">
        <v>137414489.35</v>
      </c>
      <c r="AQ37" s="14">
        <v>151182640.9</v>
      </c>
      <c r="AR37" s="14">
        <v>156673416.62</v>
      </c>
      <c r="AS37" s="14">
        <v>129087535</v>
      </c>
      <c r="AT37" s="15">
        <v>0.872925608734193</v>
      </c>
      <c r="AU37" s="15">
        <v>0.73101043034776</v>
      </c>
      <c r="AV37" s="15">
        <v>0.0796289103326363</v>
      </c>
      <c r="AW37" s="15"/>
      <c r="AX37" s="11"/>
      <c r="AY37" s="11"/>
      <c r="AZ37" s="11"/>
      <c r="BA37" s="11"/>
      <c r="BB37" s="14">
        <v>1926244881.44</v>
      </c>
      <c r="BC37" s="14">
        <v>131083920.31</v>
      </c>
      <c r="BD37" s="14">
        <v>132789326.53</v>
      </c>
      <c r="BE37" s="14">
        <v>148925088.07</v>
      </c>
      <c r="BF37" s="14">
        <v>124932192.61</v>
      </c>
      <c r="BG37" s="15">
        <v>1.02311060339153</v>
      </c>
      <c r="BH37" s="15">
        <v>0.813627429001678</v>
      </c>
      <c r="BI37" s="15">
        <v>0.0826569152191142</v>
      </c>
      <c r="BJ37" s="11"/>
      <c r="BK37" s="11"/>
      <c r="BL37" s="11"/>
      <c r="BM37" s="11"/>
      <c r="BN37" s="11"/>
    </row>
    <row r="38" s="1" customFormat="1" spans="1:66">
      <c r="A38" s="9" t="s">
        <v>49</v>
      </c>
      <c r="B38" s="9">
        <v>682850024.51</v>
      </c>
      <c r="C38" s="9">
        <v>50974141.92</v>
      </c>
      <c r="D38" s="9">
        <v>54589577.07</v>
      </c>
      <c r="E38" s="9">
        <v>63162416.12</v>
      </c>
      <c r="F38" s="9">
        <v>46123409.79</v>
      </c>
      <c r="G38" s="10">
        <v>0.974075953191156</v>
      </c>
      <c r="H38" s="10">
        <v>0.829596184385065</v>
      </c>
      <c r="I38" s="10">
        <v>0.0914301713342164</v>
      </c>
      <c r="J38" s="10"/>
      <c r="K38" s="11"/>
      <c r="L38" s="11"/>
      <c r="M38" s="11"/>
      <c r="N38" s="11"/>
      <c r="O38" s="9">
        <v>674450338.82</v>
      </c>
      <c r="P38" s="9">
        <v>50310387.8500001</v>
      </c>
      <c r="Q38" s="9">
        <v>44262662.26</v>
      </c>
      <c r="R38" s="9">
        <v>66309888.82</v>
      </c>
      <c r="S38" s="9">
        <v>48771920.09</v>
      </c>
      <c r="T38" s="10">
        <v>0.974075953191156</v>
      </c>
      <c r="U38" s="10">
        <v>0.829596184385065</v>
      </c>
      <c r="V38" s="10">
        <v>0.0914301713342164</v>
      </c>
      <c r="W38" s="10"/>
      <c r="X38" s="11"/>
      <c r="Y38" s="11"/>
      <c r="Z38" s="11"/>
      <c r="AA38" s="11"/>
      <c r="AB38" s="9">
        <v>673377135.5</v>
      </c>
      <c r="AC38" s="9">
        <v>50328293.63</v>
      </c>
      <c r="AD38" s="9">
        <v>58677231.04</v>
      </c>
      <c r="AE38" s="9">
        <v>63087129.5</v>
      </c>
      <c r="AF38" s="9">
        <v>47508769.77</v>
      </c>
      <c r="AG38" s="10">
        <v>0.953951827431699</v>
      </c>
      <c r="AH38" s="10">
        <v>0.827701666110371</v>
      </c>
      <c r="AI38" s="10">
        <v>0.0923749850060148</v>
      </c>
      <c r="AJ38" s="10"/>
      <c r="AK38" s="11"/>
      <c r="AL38" s="11"/>
      <c r="AM38" s="11"/>
      <c r="AN38" s="11"/>
      <c r="AO38" s="9">
        <v>678026130.38</v>
      </c>
      <c r="AP38" s="9">
        <v>50607432.95</v>
      </c>
      <c r="AQ38" s="9">
        <v>56993800.21</v>
      </c>
      <c r="AR38" s="9">
        <v>64843413.6</v>
      </c>
      <c r="AS38" s="9">
        <v>46005367.76</v>
      </c>
      <c r="AT38" s="10">
        <v>0.831213479728811</v>
      </c>
      <c r="AU38" s="10">
        <v>0.700330550763631</v>
      </c>
      <c r="AV38" s="10">
        <v>0.0976648313399498</v>
      </c>
      <c r="AW38" s="10"/>
      <c r="AX38" s="11"/>
      <c r="AY38" s="11"/>
      <c r="AZ38" s="11"/>
      <c r="BA38" s="11"/>
      <c r="BB38" s="9">
        <f t="shared" ref="BB38:BF38" si="48">SUM(B38,O38,)</f>
        <v>1357300363.33</v>
      </c>
      <c r="BC38" s="9">
        <f t="shared" si="48"/>
        <v>101284529.77</v>
      </c>
      <c r="BD38" s="9">
        <f t="shared" si="48"/>
        <v>98852239.33</v>
      </c>
      <c r="BE38" s="9">
        <f t="shared" si="48"/>
        <v>129472304.94</v>
      </c>
      <c r="BF38" s="9">
        <f t="shared" si="48"/>
        <v>94895329.8800001</v>
      </c>
      <c r="BG38" s="10">
        <f t="shared" ref="BG38:BI38" si="49">AVERAGE(G38,T38,AT38,AG38)</f>
        <v>0.933329303385706</v>
      </c>
      <c r="BH38" s="10">
        <f t="shared" si="49"/>
        <v>0.796806146411033</v>
      </c>
      <c r="BI38" s="10">
        <f t="shared" si="49"/>
        <v>0.0932250397535994</v>
      </c>
      <c r="BJ38" s="11"/>
      <c r="BK38" s="11"/>
      <c r="BL38" s="11"/>
      <c r="BM38" s="11"/>
      <c r="BN38" s="11"/>
    </row>
    <row r="39" s="1" customFormat="1" spans="1:66">
      <c r="A39" s="9" t="s">
        <v>51</v>
      </c>
      <c r="B39" s="9">
        <v>451756177.2</v>
      </c>
      <c r="C39" s="9">
        <v>43997747.09</v>
      </c>
      <c r="D39" s="9">
        <v>50933849.88</v>
      </c>
      <c r="E39" s="9">
        <v>49288573.66</v>
      </c>
      <c r="F39" s="9">
        <v>40373889.97</v>
      </c>
      <c r="G39" s="10">
        <v>1.062830048532</v>
      </c>
      <c r="H39" s="10">
        <v>0.746067229400381</v>
      </c>
      <c r="I39" s="10">
        <v>0.1275530070416</v>
      </c>
      <c r="J39" s="10"/>
      <c r="K39" s="11"/>
      <c r="L39" s="11"/>
      <c r="M39" s="11"/>
      <c r="N39" s="11"/>
      <c r="O39" s="9">
        <v>454326616.58</v>
      </c>
      <c r="P39" s="9">
        <v>43196442.1</v>
      </c>
      <c r="Q39" s="9">
        <v>37651602.31</v>
      </c>
      <c r="R39" s="9">
        <v>49810718.84</v>
      </c>
      <c r="S39" s="9">
        <v>41107884.31</v>
      </c>
      <c r="T39" s="10">
        <v>1.062830048532</v>
      </c>
      <c r="U39" s="10">
        <v>0.746067229400381</v>
      </c>
      <c r="V39" s="10">
        <v>0.1275530070416</v>
      </c>
      <c r="W39" s="10"/>
      <c r="X39" s="11"/>
      <c r="Y39" s="11"/>
      <c r="Z39" s="11"/>
      <c r="AA39" s="11"/>
      <c r="AB39" s="9">
        <v>440146704.26</v>
      </c>
      <c r="AC39" s="9">
        <v>42097513.93</v>
      </c>
      <c r="AD39" s="9">
        <v>43169642.59</v>
      </c>
      <c r="AE39" s="9">
        <v>49022661.98</v>
      </c>
      <c r="AF39" s="9">
        <v>39440746.06</v>
      </c>
      <c r="AG39" s="10">
        <v>0.925071966864566</v>
      </c>
      <c r="AH39" s="10">
        <v>0.69041171454893</v>
      </c>
      <c r="AI39" s="10">
        <v>0.127232612887758</v>
      </c>
      <c r="AJ39" s="10"/>
      <c r="AK39" s="11"/>
      <c r="AL39" s="11"/>
      <c r="AM39" s="11"/>
      <c r="AN39" s="11"/>
      <c r="AO39" s="9">
        <v>415145867.73</v>
      </c>
      <c r="AP39" s="9">
        <v>41584690.61</v>
      </c>
      <c r="AQ39" s="9">
        <v>41175338.23</v>
      </c>
      <c r="AR39" s="9">
        <v>49917776.38</v>
      </c>
      <c r="AS39" s="9">
        <v>38629981.45</v>
      </c>
      <c r="AT39" s="10">
        <v>0.921023266153311</v>
      </c>
      <c r="AU39" s="10">
        <v>0.6604664198711</v>
      </c>
      <c r="AV39" s="10">
        <v>0.141160901440336</v>
      </c>
      <c r="AW39" s="10"/>
      <c r="AX39" s="11"/>
      <c r="AY39" s="11"/>
      <c r="AZ39" s="11"/>
      <c r="BA39" s="11"/>
      <c r="BB39" s="9">
        <f t="shared" ref="BB39:BF39" si="50">SUM(B39,O39,)</f>
        <v>906082793.78</v>
      </c>
      <c r="BC39" s="9">
        <f t="shared" si="50"/>
        <v>87194189.19</v>
      </c>
      <c r="BD39" s="9">
        <f t="shared" si="50"/>
        <v>88585452.19</v>
      </c>
      <c r="BE39" s="9">
        <f t="shared" si="50"/>
        <v>99099292.4999999</v>
      </c>
      <c r="BF39" s="9">
        <f t="shared" si="50"/>
        <v>81481774.28</v>
      </c>
      <c r="BG39" s="10">
        <f t="shared" ref="BG39:BI39" si="51">AVERAGE(G39,T39,AT39,AG39)</f>
        <v>0.99293883252047</v>
      </c>
      <c r="BH39" s="10">
        <f t="shared" si="51"/>
        <v>0.710753148305198</v>
      </c>
      <c r="BI39" s="10">
        <f t="shared" si="51"/>
        <v>0.130874882102823</v>
      </c>
      <c r="BJ39" s="11"/>
      <c r="BK39" s="11"/>
      <c r="BL39" s="11"/>
      <c r="BM39" s="11"/>
      <c r="BN39" s="11"/>
    </row>
    <row r="40" s="1" customFormat="1" spans="1:66">
      <c r="A40" s="9" t="s">
        <v>53</v>
      </c>
      <c r="B40" s="9">
        <v>256114315.88</v>
      </c>
      <c r="C40" s="9">
        <v>21378773.67</v>
      </c>
      <c r="D40" s="9">
        <v>22600439.15</v>
      </c>
      <c r="E40" s="9">
        <v>22386781.57</v>
      </c>
      <c r="F40" s="9">
        <v>20345763.96</v>
      </c>
      <c r="G40" s="10">
        <v>0.493514987218648</v>
      </c>
      <c r="H40" s="10">
        <v>0.464153401054964</v>
      </c>
      <c r="I40" s="10">
        <v>0.0453611887979256</v>
      </c>
      <c r="J40" s="10"/>
      <c r="K40" s="11"/>
      <c r="L40" s="11"/>
      <c r="M40" s="11"/>
      <c r="N40" s="11"/>
      <c r="O40" s="9">
        <v>254602850.72</v>
      </c>
      <c r="P40" s="9">
        <v>21723954.1</v>
      </c>
      <c r="Q40" s="9">
        <v>19796079.44</v>
      </c>
      <c r="R40" s="9">
        <v>23098175.96</v>
      </c>
      <c r="S40" s="9">
        <v>21442193.86</v>
      </c>
      <c r="T40" s="10">
        <v>0.493514987218648</v>
      </c>
      <c r="U40" s="10">
        <v>0.464153401054964</v>
      </c>
      <c r="V40" s="10">
        <v>0.0453611887979256</v>
      </c>
      <c r="W40" s="10"/>
      <c r="X40" s="11"/>
      <c r="Y40" s="11"/>
      <c r="Z40" s="11"/>
      <c r="AA40" s="11"/>
      <c r="AB40" s="9">
        <v>248407722.49</v>
      </c>
      <c r="AC40" s="9">
        <v>21342359.99</v>
      </c>
      <c r="AD40" s="9">
        <v>26316526.89</v>
      </c>
      <c r="AE40" s="9">
        <v>22602848.89</v>
      </c>
      <c r="AF40" s="9">
        <v>20785478.08</v>
      </c>
      <c r="AG40" s="10">
        <v>0.486953600486054</v>
      </c>
      <c r="AH40" s="10">
        <v>0.45979774897305</v>
      </c>
      <c r="AI40" s="10">
        <v>0.0454954633926687</v>
      </c>
      <c r="AJ40" s="10"/>
      <c r="AK40" s="11"/>
      <c r="AL40" s="11"/>
      <c r="AM40" s="11"/>
      <c r="AN40" s="11"/>
      <c r="AO40" s="9">
        <v>254944636.4</v>
      </c>
      <c r="AP40" s="9">
        <v>21698001.33</v>
      </c>
      <c r="AQ40" s="9">
        <v>24547665.77</v>
      </c>
      <c r="AR40" s="9">
        <v>22935195</v>
      </c>
      <c r="AS40" s="9">
        <v>20161913.29</v>
      </c>
      <c r="AT40" s="10">
        <v>0.464603006133192</v>
      </c>
      <c r="AU40" s="10">
        <v>0.439540917136305</v>
      </c>
      <c r="AV40" s="10">
        <v>0.0449807364529438</v>
      </c>
      <c r="AW40" s="10"/>
      <c r="AX40" s="11"/>
      <c r="AY40" s="11"/>
      <c r="AZ40" s="11"/>
      <c r="BA40" s="11"/>
      <c r="BB40" s="9">
        <f t="shared" ref="BB40:BF40" si="52">SUM(B40,O40,)</f>
        <v>510717166.6</v>
      </c>
      <c r="BC40" s="9">
        <f t="shared" si="52"/>
        <v>43102727.77</v>
      </c>
      <c r="BD40" s="9">
        <f t="shared" si="52"/>
        <v>42396518.59</v>
      </c>
      <c r="BE40" s="9">
        <f t="shared" si="52"/>
        <v>45484957.53</v>
      </c>
      <c r="BF40" s="9">
        <f t="shared" si="52"/>
        <v>41787957.82</v>
      </c>
      <c r="BG40" s="10">
        <f t="shared" ref="BG40:BI40" si="53">AVERAGE(G40,T40,AT40,AG40)</f>
        <v>0.484646645264135</v>
      </c>
      <c r="BH40" s="10">
        <f t="shared" si="53"/>
        <v>0.456911367054821</v>
      </c>
      <c r="BI40" s="10">
        <f t="shared" si="53"/>
        <v>0.0452996443603659</v>
      </c>
      <c r="BJ40" s="11"/>
      <c r="BK40" s="11"/>
      <c r="BL40" s="11"/>
      <c r="BM40" s="11"/>
      <c r="BN40" s="11"/>
    </row>
    <row r="41" s="1" customFormat="1" spans="1:66">
      <c r="A41" s="9" t="s">
        <v>52</v>
      </c>
      <c r="B41" s="9">
        <v>199476703.99</v>
      </c>
      <c r="C41" s="9">
        <v>16951850.23</v>
      </c>
      <c r="D41" s="9">
        <v>17807849.65</v>
      </c>
      <c r="E41" s="9">
        <v>19959727.81</v>
      </c>
      <c r="F41" s="9">
        <v>15644013.61</v>
      </c>
      <c r="G41" s="10">
        <v>0.471579202202149</v>
      </c>
      <c r="H41" s="10">
        <v>0.387023347961523</v>
      </c>
      <c r="I41" s="10">
        <v>0.0515852434970381</v>
      </c>
      <c r="J41" s="10"/>
      <c r="K41" s="11"/>
      <c r="L41" s="11"/>
      <c r="M41" s="11"/>
      <c r="N41" s="11"/>
      <c r="O41" s="9">
        <v>197739506.95</v>
      </c>
      <c r="P41" s="9">
        <v>16742929.54</v>
      </c>
      <c r="Q41" s="9">
        <v>14670511.99</v>
      </c>
      <c r="R41" s="9">
        <v>20400881.23</v>
      </c>
      <c r="S41" s="9">
        <v>15791234.71</v>
      </c>
      <c r="T41" s="10">
        <v>0.471579202202149</v>
      </c>
      <c r="U41" s="10">
        <v>0.387023347961523</v>
      </c>
      <c r="V41" s="10">
        <v>0.0515852434970381</v>
      </c>
      <c r="W41" s="10"/>
      <c r="X41" s="11"/>
      <c r="Y41" s="11"/>
      <c r="Z41" s="11"/>
      <c r="AA41" s="11"/>
      <c r="AB41" s="9">
        <v>194325501.74</v>
      </c>
      <c r="AC41" s="9">
        <v>16657522.96</v>
      </c>
      <c r="AD41" s="9">
        <v>21872617.06</v>
      </c>
      <c r="AE41" s="9">
        <v>19650471.51</v>
      </c>
      <c r="AF41" s="9">
        <v>16054493.41</v>
      </c>
      <c r="AG41" s="10">
        <v>0.481899182986328</v>
      </c>
      <c r="AH41" s="10">
        <v>0.408501480532667</v>
      </c>
      <c r="AI41" s="10">
        <v>0.0505607121403231</v>
      </c>
      <c r="AJ41" s="10"/>
      <c r="AK41" s="11"/>
      <c r="AL41" s="11"/>
      <c r="AM41" s="11"/>
      <c r="AN41" s="11"/>
      <c r="AO41" s="9">
        <v>196676520.35</v>
      </c>
      <c r="AP41" s="9">
        <v>16626533.92</v>
      </c>
      <c r="AQ41" s="9">
        <v>16057695</v>
      </c>
      <c r="AR41" s="9">
        <v>19420837.97</v>
      </c>
      <c r="AS41" s="9">
        <v>15213821.8</v>
      </c>
      <c r="AT41" s="10">
        <v>0.457516337235488</v>
      </c>
      <c r="AU41" s="10">
        <v>0.391688088420831</v>
      </c>
      <c r="AV41" s="10">
        <v>0.0493725380524305</v>
      </c>
      <c r="AW41" s="10"/>
      <c r="AX41" s="11"/>
      <c r="AY41" s="11"/>
      <c r="AZ41" s="11"/>
      <c r="BA41" s="11"/>
      <c r="BB41" s="9">
        <f t="shared" ref="BB41:BF41" si="54">SUM(B41,O41,)</f>
        <v>397216210.94</v>
      </c>
      <c r="BC41" s="9">
        <f t="shared" si="54"/>
        <v>33694779.77</v>
      </c>
      <c r="BD41" s="9">
        <f t="shared" si="54"/>
        <v>32478361.64</v>
      </c>
      <c r="BE41" s="9">
        <f t="shared" si="54"/>
        <v>40360609.04</v>
      </c>
      <c r="BF41" s="9">
        <f t="shared" si="54"/>
        <v>31435248.32</v>
      </c>
      <c r="BG41" s="10">
        <f t="shared" ref="BG41:BI41" si="55">AVERAGE(G41,T41,AT41,AG41)</f>
        <v>0.470643481156529</v>
      </c>
      <c r="BH41" s="10">
        <f t="shared" si="55"/>
        <v>0.393559066219136</v>
      </c>
      <c r="BI41" s="10">
        <f t="shared" si="55"/>
        <v>0.0507759342967074</v>
      </c>
      <c r="BJ41" s="11"/>
      <c r="BK41" s="11"/>
      <c r="BL41" s="11"/>
      <c r="BM41" s="11"/>
      <c r="BN41" s="11"/>
    </row>
    <row r="42" s="1" customFormat="1" spans="1:66">
      <c r="A42" s="9" t="s">
        <v>50</v>
      </c>
      <c r="B42" s="9">
        <v>342809195.06</v>
      </c>
      <c r="C42" s="9">
        <v>32449753.06</v>
      </c>
      <c r="D42" s="9">
        <v>32756310.81</v>
      </c>
      <c r="E42" s="9">
        <v>38296707.05</v>
      </c>
      <c r="F42" s="9">
        <v>30769504.89</v>
      </c>
      <c r="G42" s="10">
        <v>0.85905771767896</v>
      </c>
      <c r="H42" s="10">
        <v>0.910110960759823</v>
      </c>
      <c r="I42" s="10">
        <v>0.089116242502724</v>
      </c>
      <c r="J42" s="10"/>
      <c r="K42" s="11"/>
      <c r="L42" s="11"/>
      <c r="M42" s="11"/>
      <c r="N42" s="11"/>
      <c r="O42" s="9">
        <v>341408953.18</v>
      </c>
      <c r="P42" s="9">
        <v>32564514.38</v>
      </c>
      <c r="Q42" s="9">
        <v>28263496.43</v>
      </c>
      <c r="R42" s="9">
        <v>38392892.97</v>
      </c>
      <c r="S42" s="9">
        <v>31585356.03</v>
      </c>
      <c r="T42" s="10">
        <v>0.85905771767896</v>
      </c>
      <c r="U42" s="10">
        <v>0.910110960759823</v>
      </c>
      <c r="V42" s="10">
        <v>0.089116242502724</v>
      </c>
      <c r="W42" s="10"/>
      <c r="X42" s="11"/>
      <c r="Y42" s="11"/>
      <c r="Z42" s="11"/>
      <c r="AA42" s="11"/>
      <c r="AB42" s="9">
        <v>329609158.47</v>
      </c>
      <c r="AC42" s="9">
        <v>32354101.02</v>
      </c>
      <c r="AD42" s="9">
        <v>32655411.51</v>
      </c>
      <c r="AE42" s="9">
        <v>36606235.51</v>
      </c>
      <c r="AF42" s="9">
        <v>29521121.3</v>
      </c>
      <c r="AG42" s="10">
        <v>0.955494841084343</v>
      </c>
      <c r="AH42" s="10">
        <v>0.901812949851946</v>
      </c>
      <c r="AI42" s="10">
        <v>0.0900971400531756</v>
      </c>
      <c r="AJ42" s="10"/>
      <c r="AK42" s="11"/>
      <c r="AL42" s="11"/>
      <c r="AM42" s="11"/>
      <c r="AN42" s="11"/>
      <c r="AO42" s="9">
        <v>317721370.94</v>
      </c>
      <c r="AP42" s="9">
        <v>31863350.58</v>
      </c>
      <c r="AQ42" s="9">
        <v>30599944.65</v>
      </c>
      <c r="AR42" s="9">
        <v>36297480.97</v>
      </c>
      <c r="AS42" s="9">
        <v>27448967.78</v>
      </c>
      <c r="AT42" s="10">
        <v>0.929565497350591</v>
      </c>
      <c r="AU42" s="10">
        <v>0.876316957247358</v>
      </c>
      <c r="AV42" s="10">
        <v>0.0936605578477407</v>
      </c>
      <c r="AW42" s="10"/>
      <c r="AX42" s="11"/>
      <c r="AY42" s="11"/>
      <c r="AZ42" s="11"/>
      <c r="BA42" s="11"/>
      <c r="BB42" s="9">
        <f t="shared" ref="BB42:BF42" si="56">SUM(B42,O42,)</f>
        <v>684218148.24</v>
      </c>
      <c r="BC42" s="9">
        <f t="shared" si="56"/>
        <v>65014267.44</v>
      </c>
      <c r="BD42" s="9">
        <f t="shared" si="56"/>
        <v>61019807.24</v>
      </c>
      <c r="BE42" s="9">
        <f t="shared" si="56"/>
        <v>76689600.02</v>
      </c>
      <c r="BF42" s="9">
        <f t="shared" si="56"/>
        <v>62354860.92</v>
      </c>
      <c r="BG42" s="10">
        <f t="shared" ref="BG42:BI42" si="57">AVERAGE(G42,T42,AT42,AG42)</f>
        <v>0.900793943448214</v>
      </c>
      <c r="BH42" s="10">
        <f t="shared" si="57"/>
        <v>0.899587957154737</v>
      </c>
      <c r="BI42" s="10">
        <f t="shared" si="57"/>
        <v>0.0904975457265911</v>
      </c>
      <c r="BJ42" s="11"/>
      <c r="BK42" s="11"/>
      <c r="BL42" s="11"/>
      <c r="BM42" s="11"/>
      <c r="BN42" s="11"/>
    </row>
    <row r="43" s="1" customFormat="1" spans="1:66">
      <c r="A43" s="12" t="s">
        <v>54</v>
      </c>
      <c r="B43" s="12">
        <v>1933006416.64</v>
      </c>
      <c r="C43" s="12">
        <v>165752265.97</v>
      </c>
      <c r="D43" s="12">
        <v>178688026.56</v>
      </c>
      <c r="E43" s="12">
        <v>193094206.21</v>
      </c>
      <c r="F43" s="12">
        <v>153256582.22</v>
      </c>
      <c r="G43" s="13">
        <v>0.971107317785363</v>
      </c>
      <c r="H43" s="13">
        <v>0.810429602549001</v>
      </c>
      <c r="I43" s="13">
        <v>0.100610767775259</v>
      </c>
      <c r="J43" s="13"/>
      <c r="K43" s="11"/>
      <c r="L43" s="11"/>
      <c r="M43" s="11"/>
      <c r="N43" s="11"/>
      <c r="O43" s="12">
        <v>1922528266.25</v>
      </c>
      <c r="P43" s="12">
        <v>164538227.97</v>
      </c>
      <c r="Q43" s="12">
        <v>144644352.43</v>
      </c>
      <c r="R43" s="12">
        <v>198012557.82</v>
      </c>
      <c r="S43" s="12">
        <v>158698589</v>
      </c>
      <c r="T43" s="13">
        <v>0.971107317785363</v>
      </c>
      <c r="U43" s="13">
        <v>0.810429602549001</v>
      </c>
      <c r="V43" s="13">
        <v>0.100610767775259</v>
      </c>
      <c r="W43" s="13"/>
      <c r="X43" s="11"/>
      <c r="Y43" s="11"/>
      <c r="Z43" s="11"/>
      <c r="AA43" s="11"/>
      <c r="AB43" s="12">
        <v>1885866222.46</v>
      </c>
      <c r="AC43" s="12">
        <v>162779791.53</v>
      </c>
      <c r="AD43" s="12">
        <v>182691429.09</v>
      </c>
      <c r="AE43" s="12">
        <v>190969347.39</v>
      </c>
      <c r="AF43" s="12">
        <v>153310608.62</v>
      </c>
      <c r="AG43" s="13">
        <v>0.948353606114168</v>
      </c>
      <c r="AH43" s="13">
        <v>0.791421415877735</v>
      </c>
      <c r="AI43" s="13">
        <v>0.101098848316741</v>
      </c>
      <c r="AJ43" s="13"/>
      <c r="AK43" s="11"/>
      <c r="AL43" s="11"/>
      <c r="AM43" s="11"/>
      <c r="AN43" s="11"/>
      <c r="AO43" s="12">
        <v>1862514525.8</v>
      </c>
      <c r="AP43" s="12">
        <v>162380009.39</v>
      </c>
      <c r="AQ43" s="12">
        <v>169374443.86</v>
      </c>
      <c r="AR43" s="12">
        <v>193414703.92</v>
      </c>
      <c r="AS43" s="12">
        <v>147460052.08</v>
      </c>
      <c r="AT43" s="13">
        <v>0.881458006411601</v>
      </c>
      <c r="AU43" s="13">
        <v>0.720111849246998</v>
      </c>
      <c r="AV43" s="13">
        <v>0.107587080371135</v>
      </c>
      <c r="AW43" s="13"/>
      <c r="AX43" s="11"/>
      <c r="AY43" s="11"/>
      <c r="AZ43" s="11"/>
      <c r="BA43" s="11"/>
      <c r="BB43" s="12">
        <v>1933006416.64</v>
      </c>
      <c r="BC43" s="12">
        <v>165752265.97</v>
      </c>
      <c r="BD43" s="12">
        <v>178688026.56</v>
      </c>
      <c r="BE43" s="12">
        <v>193094206.21</v>
      </c>
      <c r="BF43" s="12">
        <v>153256582.22</v>
      </c>
      <c r="BG43" s="13">
        <v>0.971107317785363</v>
      </c>
      <c r="BH43" s="13">
        <v>0.810429602549001</v>
      </c>
      <c r="BI43" s="13">
        <v>0.100610767775259</v>
      </c>
      <c r="BJ43" s="11"/>
      <c r="BK43" s="11"/>
      <c r="BL43" s="11"/>
      <c r="BM43" s="11"/>
      <c r="BN43" s="11"/>
    </row>
    <row r="44" s="1" customFormat="1" spans="1:66">
      <c r="A44" s="9" t="s">
        <v>58</v>
      </c>
      <c r="B44" s="9">
        <v>106500450.04</v>
      </c>
      <c r="C44" s="9">
        <v>8151059.78</v>
      </c>
      <c r="D44" s="9">
        <v>8264976.43</v>
      </c>
      <c r="E44" s="9">
        <v>8213352.59</v>
      </c>
      <c r="F44" s="9">
        <v>8043361.5</v>
      </c>
      <c r="G44" s="10">
        <v>0.491973506329359</v>
      </c>
      <c r="H44" s="10">
        <v>0.494923378196549</v>
      </c>
      <c r="I44" s="10">
        <v>0.0385715262243257</v>
      </c>
      <c r="J44" s="10"/>
      <c r="K44" s="11"/>
      <c r="L44" s="11"/>
      <c r="M44" s="11"/>
      <c r="N44" s="11"/>
      <c r="O44" s="9">
        <v>108476336.94</v>
      </c>
      <c r="P44" s="9">
        <v>8418371.43</v>
      </c>
      <c r="Q44" s="9">
        <v>7652414.83</v>
      </c>
      <c r="R44" s="9">
        <v>8368195.75</v>
      </c>
      <c r="S44" s="9">
        <v>8283231.42</v>
      </c>
      <c r="T44" s="10">
        <v>0.491973506329359</v>
      </c>
      <c r="U44" s="10">
        <v>0.494923378196549</v>
      </c>
      <c r="V44" s="10">
        <v>0.0385715262243257</v>
      </c>
      <c r="W44" s="10"/>
      <c r="X44" s="11"/>
      <c r="Y44" s="11"/>
      <c r="Z44" s="11"/>
      <c r="AA44" s="11"/>
      <c r="AB44" s="9">
        <v>107430896.59</v>
      </c>
      <c r="AC44" s="9">
        <v>8654887.88</v>
      </c>
      <c r="AD44" s="9">
        <v>8590050.03</v>
      </c>
      <c r="AE44" s="9">
        <v>8583287.38</v>
      </c>
      <c r="AF44" s="9">
        <v>8364784.4</v>
      </c>
      <c r="AG44" s="10">
        <v>0.483240483064467</v>
      </c>
      <c r="AH44" s="10">
        <v>0.487271602922842</v>
      </c>
      <c r="AI44" s="10">
        <v>0.0399479463191921</v>
      </c>
      <c r="AJ44" s="10"/>
      <c r="AK44" s="11"/>
      <c r="AL44" s="11"/>
      <c r="AM44" s="11"/>
      <c r="AN44" s="11"/>
      <c r="AO44" s="9">
        <v>102700651.17</v>
      </c>
      <c r="AP44" s="9">
        <v>8555166.54</v>
      </c>
      <c r="AQ44" s="9">
        <v>9293809.75</v>
      </c>
      <c r="AR44" s="9">
        <v>8653997.71</v>
      </c>
      <c r="AS44" s="9">
        <v>8381676.93</v>
      </c>
      <c r="AT44" s="10">
        <v>0.489860535783328</v>
      </c>
      <c r="AU44" s="10">
        <v>0.48426618603762</v>
      </c>
      <c r="AV44" s="10">
        <v>0.0421321462493703</v>
      </c>
      <c r="AW44" s="10"/>
      <c r="AX44" s="11"/>
      <c r="AY44" s="11"/>
      <c r="AZ44" s="11"/>
      <c r="BA44" s="11"/>
      <c r="BB44" s="9">
        <f t="shared" ref="BB44:BF44" si="58">SUM(B44,O44,)</f>
        <v>214976786.98</v>
      </c>
      <c r="BC44" s="9">
        <f t="shared" si="58"/>
        <v>16569431.21</v>
      </c>
      <c r="BD44" s="9">
        <f t="shared" si="58"/>
        <v>15917391.26</v>
      </c>
      <c r="BE44" s="9">
        <f t="shared" si="58"/>
        <v>16581548.34</v>
      </c>
      <c r="BF44" s="9">
        <f t="shared" si="58"/>
        <v>16326592.92</v>
      </c>
      <c r="BG44" s="10">
        <f t="shared" ref="BG44:BI44" si="59">AVERAGE(G44,T44,AT44,AG44)</f>
        <v>0.489262007876628</v>
      </c>
      <c r="BH44" s="10">
        <f t="shared" si="59"/>
        <v>0.49034613633839</v>
      </c>
      <c r="BI44" s="10">
        <f t="shared" si="59"/>
        <v>0.0398057862543034</v>
      </c>
      <c r="BJ44" s="11"/>
      <c r="BK44" s="11"/>
      <c r="BL44" s="11"/>
      <c r="BM44" s="11"/>
      <c r="BN44" s="11"/>
    </row>
    <row r="45" s="1" customFormat="1" spans="1:66">
      <c r="A45" s="9" t="s">
        <v>55</v>
      </c>
      <c r="B45" s="9">
        <v>252484067.92</v>
      </c>
      <c r="C45" s="9">
        <v>19041185.5</v>
      </c>
      <c r="D45" s="9">
        <v>20114372.53</v>
      </c>
      <c r="E45" s="9">
        <v>21924843.04</v>
      </c>
      <c r="F45" s="9">
        <v>17788173.26</v>
      </c>
      <c r="G45" s="10">
        <v>0.984984438781318</v>
      </c>
      <c r="H45" s="10">
        <v>0.912075585518346</v>
      </c>
      <c r="I45" s="10">
        <v>0.0988704242681397</v>
      </c>
      <c r="J45" s="10"/>
      <c r="K45" s="11"/>
      <c r="L45" s="11"/>
      <c r="M45" s="11"/>
      <c r="N45" s="11"/>
      <c r="O45" s="9">
        <v>265636704.25</v>
      </c>
      <c r="P45" s="9">
        <v>20008745.93</v>
      </c>
      <c r="Q45" s="9">
        <v>17289214.09</v>
      </c>
      <c r="R45" s="9">
        <v>23526800.85</v>
      </c>
      <c r="S45" s="9">
        <v>19411613.31</v>
      </c>
      <c r="T45" s="10">
        <v>0.984984438781318</v>
      </c>
      <c r="U45" s="10">
        <v>0.912075585518346</v>
      </c>
      <c r="V45" s="10">
        <v>0.0988704242681397</v>
      </c>
      <c r="W45" s="10"/>
      <c r="X45" s="11"/>
      <c r="Y45" s="11"/>
      <c r="Z45" s="11"/>
      <c r="AA45" s="11"/>
      <c r="AB45" s="9">
        <v>270869947.26</v>
      </c>
      <c r="AC45" s="9">
        <v>20665292.33</v>
      </c>
      <c r="AD45" s="9">
        <v>22235975.04</v>
      </c>
      <c r="AE45" s="9">
        <v>24140774.07</v>
      </c>
      <c r="AF45" s="9">
        <v>19495381.72</v>
      </c>
      <c r="AG45" s="10">
        <v>0.97152163381519</v>
      </c>
      <c r="AH45" s="10">
        <v>0.903284748490175</v>
      </c>
      <c r="AI45" s="10">
        <v>0.105019642713739</v>
      </c>
      <c r="AJ45" s="10"/>
      <c r="AK45" s="11"/>
      <c r="AL45" s="11"/>
      <c r="AM45" s="11"/>
      <c r="AN45" s="11"/>
      <c r="AO45" s="9">
        <v>271670333.45</v>
      </c>
      <c r="AP45" s="9">
        <v>21046161.78</v>
      </c>
      <c r="AQ45" s="9">
        <v>21084347.77</v>
      </c>
      <c r="AR45" s="9">
        <v>25041873.18</v>
      </c>
      <c r="AS45" s="9">
        <v>18273474.95</v>
      </c>
      <c r="AT45" s="10">
        <v>0.933735023172977</v>
      </c>
      <c r="AU45" s="10">
        <v>0.864180681619056</v>
      </c>
      <c r="AV45" s="10">
        <v>0.113974217717508</v>
      </c>
      <c r="AW45" s="10"/>
      <c r="AX45" s="11"/>
      <c r="AY45" s="11"/>
      <c r="AZ45" s="11"/>
      <c r="BA45" s="11"/>
      <c r="BB45" s="9">
        <f t="shared" ref="BB45:BF45" si="60">SUM(B45,O45,)</f>
        <v>518120772.17</v>
      </c>
      <c r="BC45" s="9">
        <f t="shared" si="60"/>
        <v>39049931.43</v>
      </c>
      <c r="BD45" s="9">
        <f t="shared" si="60"/>
        <v>37403586.62</v>
      </c>
      <c r="BE45" s="9">
        <f t="shared" si="60"/>
        <v>45451643.89</v>
      </c>
      <c r="BF45" s="9">
        <f t="shared" si="60"/>
        <v>37199786.57</v>
      </c>
      <c r="BG45" s="10">
        <f t="shared" ref="BG45:BI45" si="61">AVERAGE(G45,T45,AT45,AG45)</f>
        <v>0.968806383637701</v>
      </c>
      <c r="BH45" s="10">
        <f t="shared" si="61"/>
        <v>0.897904150286481</v>
      </c>
      <c r="BI45" s="10">
        <f t="shared" si="61"/>
        <v>0.104183677241882</v>
      </c>
      <c r="BJ45" s="11"/>
      <c r="BK45" s="11"/>
      <c r="BL45" s="11"/>
      <c r="BM45" s="11"/>
      <c r="BN45" s="11"/>
    </row>
    <row r="46" s="1" customFormat="1" spans="1:66">
      <c r="A46" s="9" t="s">
        <v>56</v>
      </c>
      <c r="B46" s="9">
        <v>301824168.84</v>
      </c>
      <c r="C46" s="9">
        <v>23583563.71</v>
      </c>
      <c r="D46" s="9">
        <v>24067535.39</v>
      </c>
      <c r="E46" s="9">
        <v>29629270.88</v>
      </c>
      <c r="F46" s="9">
        <v>21785061.84</v>
      </c>
      <c r="G46" s="10">
        <v>1.22529503973454</v>
      </c>
      <c r="H46" s="10">
        <v>0.868467410005568</v>
      </c>
      <c r="I46" s="10">
        <v>0.124221743911066</v>
      </c>
      <c r="J46" s="10"/>
      <c r="K46" s="11"/>
      <c r="L46" s="11"/>
      <c r="M46" s="11"/>
      <c r="N46" s="11"/>
      <c r="O46" s="9">
        <v>298844591.72</v>
      </c>
      <c r="P46" s="9">
        <v>23316224.35</v>
      </c>
      <c r="Q46" s="9">
        <v>21435433.93</v>
      </c>
      <c r="R46" s="9">
        <v>30252138.5</v>
      </c>
      <c r="S46" s="9">
        <v>23072949.31</v>
      </c>
      <c r="T46" s="10">
        <v>1.22529503973454</v>
      </c>
      <c r="U46" s="10">
        <v>0.868467410005568</v>
      </c>
      <c r="V46" s="10">
        <v>0.124221743911066</v>
      </c>
      <c r="W46" s="10"/>
      <c r="X46" s="11"/>
      <c r="Y46" s="11"/>
      <c r="Z46" s="11"/>
      <c r="AA46" s="11"/>
      <c r="AB46" s="9">
        <v>302479999.28</v>
      </c>
      <c r="AC46" s="9">
        <v>23581109.87</v>
      </c>
      <c r="AD46" s="9">
        <v>28310096.81</v>
      </c>
      <c r="AE46" s="9">
        <v>29548780.1</v>
      </c>
      <c r="AF46" s="9">
        <v>23182022.02</v>
      </c>
      <c r="AG46" s="10">
        <v>0.956929210672773</v>
      </c>
      <c r="AH46" s="10">
        <v>0.881138242534202</v>
      </c>
      <c r="AI46" s="10">
        <v>0.101755181205874</v>
      </c>
      <c r="AJ46" s="10"/>
      <c r="AK46" s="11"/>
      <c r="AL46" s="11"/>
      <c r="AM46" s="11"/>
      <c r="AN46" s="11"/>
      <c r="AO46" s="9">
        <v>333041600.15</v>
      </c>
      <c r="AP46" s="9">
        <v>24359907.56</v>
      </c>
      <c r="AQ46" s="9">
        <v>27409233.81</v>
      </c>
      <c r="AR46" s="9">
        <v>30373312.49</v>
      </c>
      <c r="AS46" s="9">
        <v>20940390.18</v>
      </c>
      <c r="AT46" s="10">
        <v>0.839688382524029</v>
      </c>
      <c r="AU46" s="10">
        <v>0.750237499387954</v>
      </c>
      <c r="AV46" s="10">
        <v>0.0755919229133676</v>
      </c>
      <c r="AW46" s="10"/>
      <c r="AX46" s="11"/>
      <c r="AY46" s="11"/>
      <c r="AZ46" s="11"/>
      <c r="BA46" s="11"/>
      <c r="BB46" s="9">
        <f t="shared" ref="BB46:BF46" si="62">SUM(B46,O46,)</f>
        <v>600668760.56</v>
      </c>
      <c r="BC46" s="9">
        <f t="shared" si="62"/>
        <v>46899788.06</v>
      </c>
      <c r="BD46" s="9">
        <f t="shared" si="62"/>
        <v>45502969.32</v>
      </c>
      <c r="BE46" s="9">
        <f t="shared" si="62"/>
        <v>59881409.38</v>
      </c>
      <c r="BF46" s="9">
        <f t="shared" si="62"/>
        <v>44858011.15</v>
      </c>
      <c r="BG46" s="10">
        <f t="shared" ref="BG46:BI46" si="63">AVERAGE(G46,T46,AT46,AG46)</f>
        <v>1.06180191816647</v>
      </c>
      <c r="BH46" s="10">
        <f t="shared" si="63"/>
        <v>0.842077640483323</v>
      </c>
      <c r="BI46" s="10">
        <f t="shared" si="63"/>
        <v>0.106447647985343</v>
      </c>
      <c r="BJ46" s="11"/>
      <c r="BK46" s="11"/>
      <c r="BL46" s="11"/>
      <c r="BM46" s="11"/>
      <c r="BN46" s="11"/>
    </row>
    <row r="47" s="1" customFormat="1" spans="1:66">
      <c r="A47" s="9" t="s">
        <v>57</v>
      </c>
      <c r="B47" s="9">
        <v>742695484</v>
      </c>
      <c r="C47" s="9">
        <v>49488937.86</v>
      </c>
      <c r="D47" s="9">
        <v>48707719.53</v>
      </c>
      <c r="E47" s="9">
        <v>66527779.62</v>
      </c>
      <c r="F47" s="9">
        <v>45805332.94</v>
      </c>
      <c r="G47" s="10">
        <v>0.968494630121201</v>
      </c>
      <c r="H47" s="10">
        <v>0.877082235297933</v>
      </c>
      <c r="I47" s="10">
        <v>0.0800756673516686</v>
      </c>
      <c r="J47" s="10"/>
      <c r="K47" s="11"/>
      <c r="L47" s="11"/>
      <c r="M47" s="11"/>
      <c r="N47" s="11"/>
      <c r="O47" s="9">
        <v>737239360.6</v>
      </c>
      <c r="P47" s="9">
        <v>50180977.51</v>
      </c>
      <c r="Q47" s="9">
        <v>45131430.78</v>
      </c>
      <c r="R47" s="9">
        <v>61175161.24</v>
      </c>
      <c r="S47" s="9">
        <v>47529042.12</v>
      </c>
      <c r="T47" s="10">
        <v>0.968494630121201</v>
      </c>
      <c r="U47" s="10">
        <v>0.877082235297933</v>
      </c>
      <c r="V47" s="10">
        <v>0.0800756673516686</v>
      </c>
      <c r="W47" s="10"/>
      <c r="X47" s="11"/>
      <c r="Y47" s="11"/>
      <c r="Z47" s="11"/>
      <c r="AA47" s="11"/>
      <c r="AB47" s="9">
        <v>724366646.54</v>
      </c>
      <c r="AC47" s="9">
        <v>50886182.92</v>
      </c>
      <c r="AD47" s="9">
        <v>60853120.96</v>
      </c>
      <c r="AE47" s="9">
        <v>62562700.14</v>
      </c>
      <c r="AF47" s="9">
        <v>49366625.77</v>
      </c>
      <c r="AG47" s="10">
        <v>0.980812493789528</v>
      </c>
      <c r="AH47" s="10">
        <v>0.883631795731257</v>
      </c>
      <c r="AI47" s="10">
        <v>0.0840198229730125</v>
      </c>
      <c r="AJ47" s="10"/>
      <c r="AK47" s="11"/>
      <c r="AL47" s="11"/>
      <c r="AM47" s="11"/>
      <c r="AN47" s="11"/>
      <c r="AO47" s="9">
        <v>720729072.29</v>
      </c>
      <c r="AP47" s="9">
        <v>51113175.09</v>
      </c>
      <c r="AQ47" s="9">
        <v>54847378.17</v>
      </c>
      <c r="AR47" s="9">
        <v>62795404.4</v>
      </c>
      <c r="AS47" s="9">
        <v>46415064.21</v>
      </c>
      <c r="AT47" s="10">
        <v>0.949953025802063</v>
      </c>
      <c r="AU47" s="10">
        <v>0.859591668012926</v>
      </c>
      <c r="AV47" s="10">
        <v>0.0872875846001434</v>
      </c>
      <c r="AW47" s="10"/>
      <c r="AX47" s="11"/>
      <c r="AY47" s="11"/>
      <c r="AZ47" s="11"/>
      <c r="BA47" s="11"/>
      <c r="BB47" s="9">
        <f t="shared" ref="BB47:BF47" si="64">SUM(B47,O47,)</f>
        <v>1479934844.6</v>
      </c>
      <c r="BC47" s="9">
        <f t="shared" si="64"/>
        <v>99669915.37</v>
      </c>
      <c r="BD47" s="9">
        <f t="shared" si="64"/>
        <v>93839150.31</v>
      </c>
      <c r="BE47" s="9">
        <f t="shared" si="64"/>
        <v>127702940.86</v>
      </c>
      <c r="BF47" s="9">
        <f t="shared" si="64"/>
        <v>93334375.06</v>
      </c>
      <c r="BG47" s="10">
        <f t="shared" ref="BG47:BI47" si="65">AVERAGE(G47,T47,AT47,AG47)</f>
        <v>0.966938694958498</v>
      </c>
      <c r="BH47" s="10">
        <f t="shared" si="65"/>
        <v>0.874346983585012</v>
      </c>
      <c r="BI47" s="10">
        <f t="shared" si="65"/>
        <v>0.0828646855691232</v>
      </c>
      <c r="BJ47" s="11"/>
      <c r="BK47" s="11"/>
      <c r="BL47" s="11"/>
      <c r="BM47" s="11"/>
      <c r="BN47" s="11"/>
    </row>
    <row r="48" s="1" customFormat="1" spans="1:66">
      <c r="A48" s="12" t="s">
        <v>59</v>
      </c>
      <c r="B48" s="12">
        <v>1403504170.8</v>
      </c>
      <c r="C48" s="12">
        <v>100264746.85</v>
      </c>
      <c r="D48" s="12">
        <v>101154603.88</v>
      </c>
      <c r="E48" s="12">
        <v>126295246.13</v>
      </c>
      <c r="F48" s="12">
        <v>93421929.54</v>
      </c>
      <c r="G48" s="13">
        <v>1.06190403665604</v>
      </c>
      <c r="H48" s="13">
        <v>0.889636771695808</v>
      </c>
      <c r="I48" s="13">
        <v>0.0929696958841385</v>
      </c>
      <c r="J48" s="13"/>
      <c r="K48" s="11"/>
      <c r="L48" s="11"/>
      <c r="M48" s="11"/>
      <c r="N48" s="11"/>
      <c r="O48" s="12">
        <v>1410196993.51</v>
      </c>
      <c r="P48" s="12">
        <v>101924319.22</v>
      </c>
      <c r="Q48" s="12">
        <v>91508493.63</v>
      </c>
      <c r="R48" s="12">
        <v>123322296.34</v>
      </c>
      <c r="S48" s="12">
        <v>98296836.16</v>
      </c>
      <c r="T48" s="13">
        <v>1.06190403665604</v>
      </c>
      <c r="U48" s="13">
        <v>0.889636771695808</v>
      </c>
      <c r="V48" s="13">
        <v>0.0929696958841385</v>
      </c>
      <c r="W48" s="13"/>
      <c r="X48" s="11"/>
      <c r="Y48" s="11"/>
      <c r="Z48" s="11"/>
      <c r="AA48" s="11"/>
      <c r="AB48" s="12">
        <v>1405147489.67</v>
      </c>
      <c r="AC48" s="12">
        <v>103787473</v>
      </c>
      <c r="AD48" s="12">
        <v>119989242.84</v>
      </c>
      <c r="AE48" s="12">
        <v>124835541.69</v>
      </c>
      <c r="AF48" s="12">
        <v>100408813.91</v>
      </c>
      <c r="AG48" s="13">
        <v>0.96857551622203</v>
      </c>
      <c r="AH48" s="13">
        <v>0.893004756169487</v>
      </c>
      <c r="AI48" s="13">
        <v>0.088988400947795</v>
      </c>
      <c r="AJ48" s="13"/>
      <c r="AK48" s="11"/>
      <c r="AL48" s="11"/>
      <c r="AM48" s="11"/>
      <c r="AN48" s="11"/>
      <c r="AO48" s="12">
        <v>1428141657.06</v>
      </c>
      <c r="AP48" s="12">
        <v>105074410.97</v>
      </c>
      <c r="AQ48" s="12">
        <v>112634769.5</v>
      </c>
      <c r="AR48" s="12">
        <v>126864587.78</v>
      </c>
      <c r="AS48" s="12">
        <v>94010606.27</v>
      </c>
      <c r="AT48" s="13">
        <v>0.917292095961195</v>
      </c>
      <c r="AU48" s="13">
        <v>0.83641488255772</v>
      </c>
      <c r="AV48" s="13">
        <v>0.0826735790000686</v>
      </c>
      <c r="AW48" s="13"/>
      <c r="AX48" s="11"/>
      <c r="AY48" s="11"/>
      <c r="AZ48" s="11"/>
      <c r="BA48" s="11"/>
      <c r="BB48" s="12">
        <v>1403504170.8</v>
      </c>
      <c r="BC48" s="12">
        <v>100264746.85</v>
      </c>
      <c r="BD48" s="12">
        <v>101154603.88</v>
      </c>
      <c r="BE48" s="12">
        <v>126295246.13</v>
      </c>
      <c r="BF48" s="12">
        <v>93421929.54</v>
      </c>
      <c r="BG48" s="13">
        <v>1.06190403665604</v>
      </c>
      <c r="BH48" s="13">
        <v>0.889636771695808</v>
      </c>
      <c r="BI48" s="13">
        <v>0.0929696958841385</v>
      </c>
      <c r="BJ48" s="11"/>
      <c r="BK48" s="11"/>
      <c r="BL48" s="11"/>
      <c r="BM48" s="11"/>
      <c r="BN48" s="11"/>
    </row>
    <row r="49" s="1" customFormat="1" spans="1:66">
      <c r="A49" s="14" t="s">
        <v>60</v>
      </c>
      <c r="B49" s="14">
        <v>3336510587.44</v>
      </c>
      <c r="C49" s="14">
        <v>266017012.82</v>
      </c>
      <c r="D49" s="14">
        <v>279842630.44</v>
      </c>
      <c r="E49" s="14">
        <v>319389452.34</v>
      </c>
      <c r="F49" s="14">
        <v>246678511.76</v>
      </c>
      <c r="G49" s="15">
        <v>1.02999318698213</v>
      </c>
      <c r="H49" s="15">
        <v>0.862170646439657</v>
      </c>
      <c r="I49" s="15">
        <v>0.097509384972109</v>
      </c>
      <c r="J49" s="15"/>
      <c r="K49" s="11"/>
      <c r="L49" s="11"/>
      <c r="M49" s="11"/>
      <c r="N49" s="11"/>
      <c r="O49" s="14">
        <v>3332725259.76</v>
      </c>
      <c r="P49" s="14">
        <v>266462547.19</v>
      </c>
      <c r="Q49" s="14">
        <v>236152846.06</v>
      </c>
      <c r="R49" s="14">
        <v>321334854.16</v>
      </c>
      <c r="S49" s="14">
        <v>256995425.16</v>
      </c>
      <c r="T49" s="15">
        <v>1.02999318698213</v>
      </c>
      <c r="U49" s="15">
        <v>0.862170646439657</v>
      </c>
      <c r="V49" s="15">
        <v>0.097509384972109</v>
      </c>
      <c r="W49" s="15"/>
      <c r="X49" s="11"/>
      <c r="Y49" s="11"/>
      <c r="Z49" s="11"/>
      <c r="AA49" s="11"/>
      <c r="AB49" s="14">
        <v>3291013712.13</v>
      </c>
      <c r="AC49" s="14">
        <v>266567264.53</v>
      </c>
      <c r="AD49" s="14">
        <v>302680671.93</v>
      </c>
      <c r="AE49" s="14">
        <v>315804889.08</v>
      </c>
      <c r="AF49" s="14">
        <v>253719422.53</v>
      </c>
      <c r="AG49" s="15">
        <v>0.958078596451408</v>
      </c>
      <c r="AH49" s="15">
        <v>0.853219932869083</v>
      </c>
      <c r="AI49" s="15">
        <v>0.0947577087627902</v>
      </c>
      <c r="AJ49" s="15"/>
      <c r="AK49" s="11"/>
      <c r="AL49" s="11"/>
      <c r="AM49" s="11"/>
      <c r="AN49" s="11"/>
      <c r="AO49" s="14">
        <v>3290656182.86</v>
      </c>
      <c r="AP49" s="14">
        <v>267454420.36</v>
      </c>
      <c r="AQ49" s="14">
        <v>282009213.36</v>
      </c>
      <c r="AR49" s="14">
        <v>320279291.7</v>
      </c>
      <c r="AS49" s="14">
        <v>241470658.35</v>
      </c>
      <c r="AT49" s="15">
        <v>0.906450623456748</v>
      </c>
      <c r="AU49" s="15">
        <v>0.791059190590031</v>
      </c>
      <c r="AV49" s="15">
        <v>0.0925624388089225</v>
      </c>
      <c r="AW49" s="15"/>
      <c r="AX49" s="11"/>
      <c r="AY49" s="11"/>
      <c r="AZ49" s="11"/>
      <c r="BA49" s="11"/>
      <c r="BB49" s="14">
        <v>3336510587.44</v>
      </c>
      <c r="BC49" s="14">
        <v>266017012.82</v>
      </c>
      <c r="BD49" s="14">
        <v>279842630.44</v>
      </c>
      <c r="BE49" s="14">
        <v>319389452.34</v>
      </c>
      <c r="BF49" s="14">
        <v>246678511.76</v>
      </c>
      <c r="BG49" s="15">
        <v>1.02999318698213</v>
      </c>
      <c r="BH49" s="15">
        <v>0.862170646439657</v>
      </c>
      <c r="BI49" s="15">
        <v>0.097509384972109</v>
      </c>
      <c r="BJ49" s="11"/>
      <c r="BK49" s="11"/>
      <c r="BL49" s="11"/>
      <c r="BM49" s="11"/>
      <c r="BN49" s="11"/>
    </row>
    <row r="50" s="1" customFormat="1" spans="1:66">
      <c r="A50" s="16" t="s">
        <v>61</v>
      </c>
      <c r="B50" s="16">
        <v>13807000358.24</v>
      </c>
      <c r="C50" s="16">
        <v>961537190.749999</v>
      </c>
      <c r="D50" s="16">
        <v>1041013801.13</v>
      </c>
      <c r="E50" s="16">
        <v>1184144745.43</v>
      </c>
      <c r="F50" s="16">
        <v>908600511.179999</v>
      </c>
      <c r="G50" s="17">
        <v>0.98431138412459</v>
      </c>
      <c r="H50" s="17">
        <v>0.787422914586078</v>
      </c>
      <c r="I50" s="17">
        <v>0.0868520829128566</v>
      </c>
      <c r="J50" s="17"/>
      <c r="K50" s="11"/>
      <c r="L50" s="11"/>
      <c r="M50" s="11"/>
      <c r="N50" s="11"/>
      <c r="O50" s="16">
        <v>13764755384.56</v>
      </c>
      <c r="P50" s="16">
        <v>972766070.61</v>
      </c>
      <c r="Q50" s="16">
        <v>961969015.89</v>
      </c>
      <c r="R50" s="16">
        <v>1221001976.56</v>
      </c>
      <c r="S50" s="16">
        <v>964253224.36</v>
      </c>
      <c r="T50" s="17">
        <v>0.98431138412459</v>
      </c>
      <c r="U50" s="17">
        <v>0.787422914586078</v>
      </c>
      <c r="V50" s="17">
        <v>0.0868520829128566</v>
      </c>
      <c r="W50" s="17"/>
      <c r="X50" s="11"/>
      <c r="Y50" s="11"/>
      <c r="Z50" s="11"/>
      <c r="AA50" s="11"/>
      <c r="AB50" s="16">
        <v>13429651523.53</v>
      </c>
      <c r="AC50" s="16">
        <v>971821156.51</v>
      </c>
      <c r="AD50" s="16">
        <v>1150639789.64</v>
      </c>
      <c r="AE50" s="16">
        <v>1202438587.91</v>
      </c>
      <c r="AF50" s="16">
        <v>940380934.41</v>
      </c>
      <c r="AG50" s="17">
        <v>0.962829042349139</v>
      </c>
      <c r="AH50" s="17">
        <v>0.774242429975316</v>
      </c>
      <c r="AI50" s="17">
        <v>0.0874116554821246</v>
      </c>
      <c r="AJ50" s="17"/>
      <c r="AK50" s="11"/>
      <c r="AL50" s="11"/>
      <c r="AM50" s="11"/>
      <c r="AN50" s="11"/>
      <c r="AO50" s="16">
        <v>13710911700.28</v>
      </c>
      <c r="AP50" s="16">
        <v>988353217.51</v>
      </c>
      <c r="AQ50" s="16">
        <v>1085697615.98</v>
      </c>
      <c r="AR50" s="16">
        <v>1219869200.01</v>
      </c>
      <c r="AS50" s="16">
        <v>917649525.18</v>
      </c>
      <c r="AT50" s="17">
        <v>0.892469175851019</v>
      </c>
      <c r="AU50" s="17">
        <v>0.718115468684674</v>
      </c>
      <c r="AV50" s="17">
        <v>0.0858923957263875</v>
      </c>
      <c r="AW50" s="17"/>
      <c r="AX50" s="11"/>
      <c r="AY50" s="11"/>
      <c r="AZ50" s="11"/>
      <c r="BA50" s="11"/>
      <c r="BB50" s="16">
        <v>13807000358.24</v>
      </c>
      <c r="BC50" s="16">
        <v>961537190.749999</v>
      </c>
      <c r="BD50" s="16">
        <v>1041013801.13</v>
      </c>
      <c r="BE50" s="16">
        <v>1184144745.43</v>
      </c>
      <c r="BF50" s="16">
        <v>908600511.179999</v>
      </c>
      <c r="BG50" s="17">
        <v>0.98431138412459</v>
      </c>
      <c r="BH50" s="17">
        <v>0.787422914586078</v>
      </c>
      <c r="BI50" s="17">
        <v>0.0868520829128566</v>
      </c>
      <c r="BJ50" s="11"/>
      <c r="BK50" s="11"/>
      <c r="BL50" s="11"/>
      <c r="BM50" s="11"/>
      <c r="BN50" s="11"/>
    </row>
    <row r="51" s="1" customFormat="1" spans="1:66">
      <c r="A51" s="9" t="s">
        <v>64</v>
      </c>
      <c r="B51" s="9">
        <v>479825430.51</v>
      </c>
      <c r="C51" s="9">
        <v>29733396.13</v>
      </c>
      <c r="D51" s="9">
        <v>38200744.65</v>
      </c>
      <c r="E51" s="9">
        <v>39993631.87</v>
      </c>
      <c r="F51" s="9">
        <v>25557889.06</v>
      </c>
      <c r="G51" s="10">
        <v>0.943260293348994</v>
      </c>
      <c r="H51" s="10">
        <v>0.680805323738865</v>
      </c>
      <c r="I51" s="10">
        <v>0.0884231835961124</v>
      </c>
      <c r="J51" s="10"/>
      <c r="K51" s="11"/>
      <c r="L51" s="11"/>
      <c r="M51" s="11"/>
      <c r="N51" s="11"/>
      <c r="O51" s="9">
        <v>494119151.78</v>
      </c>
      <c r="P51" s="9">
        <v>30061911.26</v>
      </c>
      <c r="Q51" s="9">
        <v>23927767.59</v>
      </c>
      <c r="R51" s="9">
        <v>43021273.57</v>
      </c>
      <c r="S51" s="9">
        <v>29502379.36</v>
      </c>
      <c r="T51" s="10">
        <v>0.943260293348994</v>
      </c>
      <c r="U51" s="10">
        <v>0.680805323738865</v>
      </c>
      <c r="V51" s="10">
        <v>0.0884231835961124</v>
      </c>
      <c r="W51" s="10"/>
      <c r="X51" s="11"/>
      <c r="Y51" s="11"/>
      <c r="Z51" s="11"/>
      <c r="AA51" s="11"/>
      <c r="AB51" s="9">
        <v>479991645.9</v>
      </c>
      <c r="AC51" s="9">
        <v>29835554.71</v>
      </c>
      <c r="AD51" s="9">
        <v>31594513.05</v>
      </c>
      <c r="AE51" s="9">
        <v>40649921.4</v>
      </c>
      <c r="AF51" s="9">
        <v>26975910.4</v>
      </c>
      <c r="AG51" s="10">
        <v>0.956360922296341</v>
      </c>
      <c r="AH51" s="10">
        <v>0.688253813131225</v>
      </c>
      <c r="AI51" s="10">
        <v>0.0922163145899365</v>
      </c>
      <c r="AJ51" s="10"/>
      <c r="AK51" s="11"/>
      <c r="AL51" s="11"/>
      <c r="AM51" s="11"/>
      <c r="AN51" s="11"/>
      <c r="AO51" s="9">
        <v>494293870.39</v>
      </c>
      <c r="AP51" s="9">
        <v>30687839.41</v>
      </c>
      <c r="AQ51" s="9">
        <v>31180936.09</v>
      </c>
      <c r="AR51" s="9">
        <v>43706825.16</v>
      </c>
      <c r="AS51" s="9">
        <v>26410427.1</v>
      </c>
      <c r="AT51" s="10">
        <v>0.757910578150464</v>
      </c>
      <c r="AU51" s="10">
        <v>0.566227769439234</v>
      </c>
      <c r="AV51" s="10">
        <v>0.0883379494100013</v>
      </c>
      <c r="AW51" s="10"/>
      <c r="AX51" s="11"/>
      <c r="AY51" s="11"/>
      <c r="AZ51" s="11"/>
      <c r="BA51" s="11"/>
      <c r="BB51" s="9">
        <f t="shared" ref="BB51:BF51" si="66">SUM(B51,O51,)</f>
        <v>973944582.29</v>
      </c>
      <c r="BC51" s="9">
        <f t="shared" si="66"/>
        <v>59795307.39</v>
      </c>
      <c r="BD51" s="9">
        <f t="shared" si="66"/>
        <v>62128512.24</v>
      </c>
      <c r="BE51" s="9">
        <f t="shared" si="66"/>
        <v>83014905.44</v>
      </c>
      <c r="BF51" s="9">
        <f t="shared" si="66"/>
        <v>55060268.42</v>
      </c>
      <c r="BG51" s="10">
        <f t="shared" ref="BG51:BI51" si="67">AVERAGE(G51,T51,AT51,AG51)</f>
        <v>0.900198021786198</v>
      </c>
      <c r="BH51" s="10">
        <f t="shared" si="67"/>
        <v>0.654023057512047</v>
      </c>
      <c r="BI51" s="10">
        <f t="shared" si="67"/>
        <v>0.0893501577980406</v>
      </c>
      <c r="BJ51" s="11"/>
      <c r="BK51" s="11"/>
      <c r="BL51" s="11"/>
      <c r="BM51" s="11"/>
      <c r="BN51" s="11"/>
    </row>
    <row r="52" s="1" customFormat="1" spans="1:66">
      <c r="A52" s="9" t="s">
        <v>63</v>
      </c>
      <c r="B52" s="9">
        <v>464925374.69</v>
      </c>
      <c r="C52" s="9">
        <v>21036275.86</v>
      </c>
      <c r="D52" s="9">
        <v>21361027.33</v>
      </c>
      <c r="E52" s="9">
        <v>25033827.21</v>
      </c>
      <c r="F52" s="9">
        <v>20791357.15</v>
      </c>
      <c r="G52" s="10">
        <v>0.986469767423453</v>
      </c>
      <c r="H52" s="10">
        <v>0.891121461565042</v>
      </c>
      <c r="I52" s="10">
        <v>0.0463090605112534</v>
      </c>
      <c r="J52" s="10"/>
      <c r="K52" s="11"/>
      <c r="L52" s="11"/>
      <c r="M52" s="11"/>
      <c r="N52" s="11"/>
      <c r="O52" s="9">
        <v>471192419.36</v>
      </c>
      <c r="P52" s="9">
        <v>21335786.51</v>
      </c>
      <c r="Q52" s="9">
        <v>20539131.06</v>
      </c>
      <c r="R52" s="9">
        <v>25558259.57</v>
      </c>
      <c r="S52" s="9">
        <v>20745957.41</v>
      </c>
      <c r="T52" s="10">
        <v>0.986469767423453</v>
      </c>
      <c r="U52" s="10">
        <v>0.891121461565042</v>
      </c>
      <c r="V52" s="10">
        <v>0.0463090605112534</v>
      </c>
      <c r="W52" s="10"/>
      <c r="X52" s="11"/>
      <c r="Y52" s="11"/>
      <c r="Z52" s="11"/>
      <c r="AA52" s="11"/>
      <c r="AB52" s="9">
        <v>461372008.99</v>
      </c>
      <c r="AC52" s="9">
        <v>20920860.12</v>
      </c>
      <c r="AD52" s="9">
        <v>21544264.75</v>
      </c>
      <c r="AE52" s="9">
        <v>25502026.05</v>
      </c>
      <c r="AF52" s="9">
        <v>20726230.03</v>
      </c>
      <c r="AG52" s="10">
        <v>0.97946474475937</v>
      </c>
      <c r="AH52" s="10">
        <v>0.874639504736889</v>
      </c>
      <c r="AI52" s="10">
        <v>0.0475718573946476</v>
      </c>
      <c r="AJ52" s="10"/>
      <c r="AK52" s="11"/>
      <c r="AL52" s="11"/>
      <c r="AM52" s="11"/>
      <c r="AN52" s="11"/>
      <c r="AO52" s="9">
        <v>449744873.91</v>
      </c>
      <c r="AP52" s="9">
        <v>20907121.41</v>
      </c>
      <c r="AQ52" s="9">
        <v>35003313.72</v>
      </c>
      <c r="AR52" s="9">
        <v>25504834.34</v>
      </c>
      <c r="AS52" s="9">
        <v>19449836.49</v>
      </c>
      <c r="AT52" s="10">
        <v>0.907348933896713</v>
      </c>
      <c r="AU52" s="10">
        <v>0.794290491829379</v>
      </c>
      <c r="AV52" s="10">
        <v>0.049277927309199</v>
      </c>
      <c r="AW52" s="10"/>
      <c r="AX52" s="11"/>
      <c r="AY52" s="11"/>
      <c r="AZ52" s="11"/>
      <c r="BA52" s="11"/>
      <c r="BB52" s="9">
        <f t="shared" ref="BB52:BF52" si="68">SUM(B52,O52,)</f>
        <v>936117794.05</v>
      </c>
      <c r="BC52" s="9">
        <f t="shared" si="68"/>
        <v>42372062.37</v>
      </c>
      <c r="BD52" s="9">
        <f t="shared" si="68"/>
        <v>41900158.39</v>
      </c>
      <c r="BE52" s="9">
        <f t="shared" si="68"/>
        <v>50592086.78</v>
      </c>
      <c r="BF52" s="9">
        <f t="shared" si="68"/>
        <v>41537314.56</v>
      </c>
      <c r="BG52" s="10">
        <f t="shared" ref="BG52:BI52" si="69">AVERAGE(G52,T52,AT52,AG52)</f>
        <v>0.964938303375747</v>
      </c>
      <c r="BH52" s="10">
        <f t="shared" si="69"/>
        <v>0.862793229924088</v>
      </c>
      <c r="BI52" s="10">
        <f t="shared" si="69"/>
        <v>0.0473669764315884</v>
      </c>
      <c r="BJ52" s="11"/>
      <c r="BK52" s="11"/>
      <c r="BL52" s="11"/>
      <c r="BM52" s="11"/>
      <c r="BN52" s="11"/>
    </row>
    <row r="53" s="1" customFormat="1" spans="1:66">
      <c r="A53" s="9" t="s">
        <v>62</v>
      </c>
      <c r="B53" s="9">
        <v>527779886.07</v>
      </c>
      <c r="C53" s="9">
        <v>19452476.62</v>
      </c>
      <c r="D53" s="9">
        <v>19617383.53</v>
      </c>
      <c r="E53" s="9">
        <v>25065553.95</v>
      </c>
      <c r="F53" s="9">
        <v>17431527.94</v>
      </c>
      <c r="G53" s="10">
        <v>1.06870645160887</v>
      </c>
      <c r="H53" s="10">
        <v>0.820143996352609</v>
      </c>
      <c r="I53" s="10">
        <v>0.0425391174608803</v>
      </c>
      <c r="J53" s="10"/>
      <c r="K53" s="11"/>
      <c r="L53" s="11"/>
      <c r="M53" s="11"/>
      <c r="N53" s="11"/>
      <c r="O53" s="9">
        <v>524666768.62</v>
      </c>
      <c r="P53" s="9">
        <v>19394907.37</v>
      </c>
      <c r="Q53" s="9">
        <v>17869545.41</v>
      </c>
      <c r="R53" s="9">
        <v>26615495.44</v>
      </c>
      <c r="S53" s="9">
        <v>19665651.99</v>
      </c>
      <c r="T53" s="10">
        <v>1.06870645160887</v>
      </c>
      <c r="U53" s="10">
        <v>0.820143996352609</v>
      </c>
      <c r="V53" s="10">
        <v>0.0425391174608803</v>
      </c>
      <c r="W53" s="10"/>
      <c r="X53" s="11"/>
      <c r="Y53" s="11"/>
      <c r="Z53" s="11"/>
      <c r="AA53" s="11"/>
      <c r="AB53" s="9">
        <v>512961331.98</v>
      </c>
      <c r="AC53" s="9">
        <v>19190913.78</v>
      </c>
      <c r="AD53" s="9">
        <v>18594071.43</v>
      </c>
      <c r="AE53" s="9">
        <v>25797403.01</v>
      </c>
      <c r="AF53" s="9">
        <v>18428531.78</v>
      </c>
      <c r="AG53" s="10">
        <v>0.976520985303034</v>
      </c>
      <c r="AH53" s="10">
        <v>0.803334141658261</v>
      </c>
      <c r="AI53" s="10">
        <v>0.0413612723343928</v>
      </c>
      <c r="AJ53" s="10"/>
      <c r="AK53" s="11"/>
      <c r="AL53" s="11"/>
      <c r="AM53" s="11"/>
      <c r="AN53" s="11"/>
      <c r="AO53" s="9">
        <v>494994680.47</v>
      </c>
      <c r="AP53" s="9">
        <v>19236008.84</v>
      </c>
      <c r="AQ53" s="9">
        <v>19752471.46</v>
      </c>
      <c r="AR53" s="9">
        <v>26336058.79</v>
      </c>
      <c r="AS53" s="9">
        <v>18400134.59</v>
      </c>
      <c r="AT53" s="10">
        <v>0.975433951320803</v>
      </c>
      <c r="AU53" s="10">
        <v>0.793938773784673</v>
      </c>
      <c r="AV53" s="10">
        <v>0.0432042971950525</v>
      </c>
      <c r="AW53" s="10"/>
      <c r="AX53" s="11"/>
      <c r="AY53" s="11"/>
      <c r="AZ53" s="11"/>
      <c r="BA53" s="11"/>
      <c r="BB53" s="9">
        <f t="shared" ref="BB53:BF53" si="70">SUM(B53,O53,)</f>
        <v>1052446654.69</v>
      </c>
      <c r="BC53" s="9">
        <f t="shared" si="70"/>
        <v>38847383.99</v>
      </c>
      <c r="BD53" s="9">
        <f t="shared" si="70"/>
        <v>37486928.94</v>
      </c>
      <c r="BE53" s="9">
        <f t="shared" si="70"/>
        <v>51681049.39</v>
      </c>
      <c r="BF53" s="9">
        <f t="shared" si="70"/>
        <v>37097179.93</v>
      </c>
      <c r="BG53" s="10">
        <f t="shared" ref="BG53:BI53" si="71">AVERAGE(G53,T53,AT53,AG53)</f>
        <v>1.0223419599604</v>
      </c>
      <c r="BH53" s="10">
        <f t="shared" si="71"/>
        <v>0.809390227037038</v>
      </c>
      <c r="BI53" s="10">
        <f t="shared" si="71"/>
        <v>0.0424109511128015</v>
      </c>
      <c r="BJ53" s="11"/>
      <c r="BK53" s="11"/>
      <c r="BL53" s="11"/>
      <c r="BM53" s="11"/>
      <c r="BN53" s="11"/>
    </row>
    <row r="54" s="1" customFormat="1" spans="1:66">
      <c r="A54" s="9" t="s">
        <v>65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  <c r="H54" s="10">
        <v>0</v>
      </c>
      <c r="I54" s="10">
        <v>0</v>
      </c>
      <c r="J54" s="10"/>
      <c r="K54" s="11"/>
      <c r="L54" s="11"/>
      <c r="M54" s="11"/>
      <c r="N54" s="11"/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10">
        <v>0</v>
      </c>
      <c r="U54" s="10">
        <v>0</v>
      </c>
      <c r="V54" s="10">
        <v>0</v>
      </c>
      <c r="W54" s="10"/>
      <c r="X54" s="11"/>
      <c r="Y54" s="11"/>
      <c r="Z54" s="11"/>
      <c r="AA54" s="11"/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0</v>
      </c>
      <c r="AI54" s="10">
        <v>0</v>
      </c>
      <c r="AJ54" s="10"/>
      <c r="AK54" s="11"/>
      <c r="AL54" s="11"/>
      <c r="AM54" s="11"/>
      <c r="AN54" s="11"/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10">
        <v>0</v>
      </c>
      <c r="AU54" s="10">
        <v>0</v>
      </c>
      <c r="AV54" s="10">
        <v>0</v>
      </c>
      <c r="AW54" s="10"/>
      <c r="AX54" s="11"/>
      <c r="AY54" s="11"/>
      <c r="AZ54" s="11"/>
      <c r="BA54" s="11"/>
      <c r="BB54" s="9">
        <f t="shared" ref="BB54:BF54" si="72">SUM(B54,O54,)</f>
        <v>0</v>
      </c>
      <c r="BC54" s="9">
        <f t="shared" si="72"/>
        <v>0</v>
      </c>
      <c r="BD54" s="9">
        <f t="shared" si="72"/>
        <v>0</v>
      </c>
      <c r="BE54" s="9">
        <f t="shared" si="72"/>
        <v>0</v>
      </c>
      <c r="BF54" s="9">
        <f t="shared" si="72"/>
        <v>0</v>
      </c>
      <c r="BG54" s="10">
        <f t="shared" ref="BG54:BI54" si="73">AVERAGE(G54,T54,AT54,AG54)</f>
        <v>0</v>
      </c>
      <c r="BH54" s="10">
        <f t="shared" si="73"/>
        <v>0</v>
      </c>
      <c r="BI54" s="10">
        <f t="shared" si="73"/>
        <v>0</v>
      </c>
      <c r="BJ54" s="11"/>
      <c r="BK54" s="11"/>
      <c r="BL54" s="11"/>
      <c r="BM54" s="11"/>
      <c r="BN54" s="11"/>
    </row>
    <row r="55" s="1" customFormat="1" spans="1:66">
      <c r="A55" s="12" t="s">
        <v>66</v>
      </c>
      <c r="B55" s="12">
        <v>1472530691.27</v>
      </c>
      <c r="C55" s="12">
        <v>70222148.61</v>
      </c>
      <c r="D55" s="12">
        <v>79179155.51</v>
      </c>
      <c r="E55" s="12">
        <v>90093013.03</v>
      </c>
      <c r="F55" s="12">
        <v>63780774.15</v>
      </c>
      <c r="G55" s="13">
        <v>1.00229887560654</v>
      </c>
      <c r="H55" s="13">
        <v>0.795950788537441</v>
      </c>
      <c r="I55" s="13">
        <v>0.0532961820928579</v>
      </c>
      <c r="J55" s="13"/>
      <c r="K55" s="11"/>
      <c r="L55" s="11"/>
      <c r="M55" s="11"/>
      <c r="N55" s="11"/>
      <c r="O55" s="12">
        <v>1489978339.76</v>
      </c>
      <c r="P55" s="12">
        <v>70792605.14</v>
      </c>
      <c r="Q55" s="12">
        <v>62336444.06</v>
      </c>
      <c r="R55" s="12">
        <v>95195028.58</v>
      </c>
      <c r="S55" s="12">
        <v>69913988.76</v>
      </c>
      <c r="T55" s="13">
        <v>1.00229887560654</v>
      </c>
      <c r="U55" s="13">
        <v>0.795950788537441</v>
      </c>
      <c r="V55" s="13">
        <v>0.0532961820928579</v>
      </c>
      <c r="W55" s="13"/>
      <c r="X55" s="11"/>
      <c r="Y55" s="11"/>
      <c r="Z55" s="11"/>
      <c r="AA55" s="11"/>
      <c r="AB55" s="12">
        <v>1454324986.87</v>
      </c>
      <c r="AC55" s="12">
        <v>69947328.61</v>
      </c>
      <c r="AD55" s="12">
        <v>71732849.23</v>
      </c>
      <c r="AE55" s="12">
        <v>91949350.46</v>
      </c>
      <c r="AF55" s="12">
        <v>66130672.21</v>
      </c>
      <c r="AG55" s="13">
        <v>0.963961623638702</v>
      </c>
      <c r="AH55" s="13">
        <v>0.784446977150997</v>
      </c>
      <c r="AI55" s="13">
        <v>0.0529924715529282</v>
      </c>
      <c r="AJ55" s="13"/>
      <c r="AK55" s="11"/>
      <c r="AL55" s="11"/>
      <c r="AM55" s="11"/>
      <c r="AN55" s="11"/>
      <c r="AO55" s="12">
        <v>1439033424.77</v>
      </c>
      <c r="AP55" s="12">
        <v>70830969.66</v>
      </c>
      <c r="AQ55" s="12">
        <v>85936721.27</v>
      </c>
      <c r="AR55" s="12">
        <v>95547718.29</v>
      </c>
      <c r="AS55" s="12">
        <v>64260398.18</v>
      </c>
      <c r="AT55" s="13">
        <v>0.880723066730884</v>
      </c>
      <c r="AU55" s="13">
        <v>0.714123006014032</v>
      </c>
      <c r="AV55" s="13">
        <v>0.0548616235593459</v>
      </c>
      <c r="AW55" s="13"/>
      <c r="AX55" s="11"/>
      <c r="AY55" s="11"/>
      <c r="AZ55" s="11"/>
      <c r="BA55" s="11"/>
      <c r="BB55" s="12">
        <v>1472530691.27</v>
      </c>
      <c r="BC55" s="12">
        <v>70222148.61</v>
      </c>
      <c r="BD55" s="12">
        <v>79179155.51</v>
      </c>
      <c r="BE55" s="12">
        <v>90093013.03</v>
      </c>
      <c r="BF55" s="12">
        <v>63780774.15</v>
      </c>
      <c r="BG55" s="13">
        <v>1.00229887560654</v>
      </c>
      <c r="BH55" s="13">
        <v>0.795950788537441</v>
      </c>
      <c r="BI55" s="13">
        <v>0.0532961820928579</v>
      </c>
      <c r="BJ55" s="11"/>
      <c r="BK55" s="11"/>
      <c r="BL55" s="11"/>
      <c r="BM55" s="11"/>
      <c r="BN55" s="11"/>
    </row>
    <row r="56" s="1" customFormat="1" spans="1:66">
      <c r="A56" s="9" t="s">
        <v>67</v>
      </c>
      <c r="B56" s="9">
        <v>933455819.37</v>
      </c>
      <c r="C56" s="9">
        <v>53533768.32</v>
      </c>
      <c r="D56" s="9">
        <v>50136685.89</v>
      </c>
      <c r="E56" s="9">
        <v>65252411.42</v>
      </c>
      <c r="F56" s="9">
        <v>50179229.97</v>
      </c>
      <c r="G56" s="10">
        <v>0.948208225650417</v>
      </c>
      <c r="H56" s="10">
        <v>0.792671706107714</v>
      </c>
      <c r="I56" s="10">
        <v>0.0642973945577493</v>
      </c>
      <c r="J56" s="10"/>
      <c r="K56" s="11"/>
      <c r="L56" s="11"/>
      <c r="M56" s="11"/>
      <c r="N56" s="11"/>
      <c r="O56" s="9">
        <v>959718497.399999</v>
      </c>
      <c r="P56" s="9">
        <v>55685367.45</v>
      </c>
      <c r="Q56" s="9">
        <v>48287416.53</v>
      </c>
      <c r="R56" s="9">
        <v>69799792.5</v>
      </c>
      <c r="S56" s="9">
        <v>54566409.31</v>
      </c>
      <c r="T56" s="10">
        <v>0.948208225650417</v>
      </c>
      <c r="U56" s="10">
        <v>0.792671706107714</v>
      </c>
      <c r="V56" s="10">
        <v>0.0642973945577493</v>
      </c>
      <c r="W56" s="10"/>
      <c r="X56" s="11"/>
      <c r="Y56" s="11"/>
      <c r="Z56" s="11"/>
      <c r="AA56" s="11"/>
      <c r="AB56" s="9">
        <v>503762866.45</v>
      </c>
      <c r="AC56" s="9">
        <v>26490491.46</v>
      </c>
      <c r="AD56" s="9">
        <v>39785359.44</v>
      </c>
      <c r="AE56" s="9">
        <v>32904072.22</v>
      </c>
      <c r="AF56" s="9">
        <v>24729135</v>
      </c>
      <c r="AG56" s="10">
        <v>0.96366433446952</v>
      </c>
      <c r="AH56" s="10">
        <v>0.833843865788011</v>
      </c>
      <c r="AI56" s="10">
        <v>0.0619644170654184</v>
      </c>
      <c r="AJ56" s="10"/>
      <c r="AK56" s="11"/>
      <c r="AL56" s="11"/>
      <c r="AM56" s="11"/>
      <c r="AN56" s="11"/>
      <c r="AO56" s="9">
        <v>519978115.65</v>
      </c>
      <c r="AP56" s="9">
        <v>27554718.63</v>
      </c>
      <c r="AQ56" s="9">
        <v>38304618.04</v>
      </c>
      <c r="AR56" s="9">
        <v>35507272.23</v>
      </c>
      <c r="AS56" s="9">
        <v>25869761.72</v>
      </c>
      <c r="AT56" s="10">
        <v>0.909961464906775</v>
      </c>
      <c r="AU56" s="10">
        <v>0.773856655439965</v>
      </c>
      <c r="AV56" s="10">
        <v>0.0610969314522318</v>
      </c>
      <c r="AW56" s="10"/>
      <c r="AX56" s="11"/>
      <c r="AY56" s="11"/>
      <c r="AZ56" s="11"/>
      <c r="BA56" s="11"/>
      <c r="BB56" s="9">
        <f t="shared" ref="BB56:BF56" si="74">SUM(B56,O56,)</f>
        <v>1893174316.77</v>
      </c>
      <c r="BC56" s="9">
        <f t="shared" si="74"/>
        <v>109219135.77</v>
      </c>
      <c r="BD56" s="9">
        <f t="shared" si="74"/>
        <v>98424102.42</v>
      </c>
      <c r="BE56" s="9">
        <f t="shared" si="74"/>
        <v>135052203.92</v>
      </c>
      <c r="BF56" s="9">
        <f t="shared" si="74"/>
        <v>104745639.28</v>
      </c>
      <c r="BG56" s="10">
        <f t="shared" ref="BG56:BI56" si="75">AVERAGE(G56,T56,AT56,AG56)</f>
        <v>0.942510562669282</v>
      </c>
      <c r="BH56" s="10">
        <f t="shared" si="75"/>
        <v>0.798260983360851</v>
      </c>
      <c r="BI56" s="10">
        <f t="shared" si="75"/>
        <v>0.0629140344082872</v>
      </c>
      <c r="BJ56" s="11"/>
      <c r="BK56" s="11"/>
      <c r="BL56" s="11"/>
      <c r="BM56" s="11"/>
      <c r="BN56" s="11"/>
    </row>
    <row r="57" s="1" customFormat="1" spans="1:66">
      <c r="A57" s="9" t="s">
        <v>68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10">
        <v>0</v>
      </c>
      <c r="H57" s="10">
        <v>0</v>
      </c>
      <c r="I57" s="10">
        <v>0</v>
      </c>
      <c r="J57" s="10"/>
      <c r="K57" s="11"/>
      <c r="L57" s="11"/>
      <c r="M57" s="11"/>
      <c r="N57" s="11"/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10">
        <v>0</v>
      </c>
      <c r="U57" s="10">
        <v>0</v>
      </c>
      <c r="V57" s="10">
        <v>0</v>
      </c>
      <c r="W57" s="10"/>
      <c r="X57" s="11"/>
      <c r="Y57" s="11"/>
      <c r="Z57" s="11"/>
      <c r="AA57" s="11"/>
      <c r="AB57" s="9">
        <v>480005130.97</v>
      </c>
      <c r="AC57" s="9">
        <v>30110207.5</v>
      </c>
      <c r="AD57" s="9">
        <v>38472377.33</v>
      </c>
      <c r="AE57" s="9">
        <v>37125200.27</v>
      </c>
      <c r="AF57" s="9">
        <v>29678415.04</v>
      </c>
      <c r="AG57" s="10">
        <v>0.975518584797995</v>
      </c>
      <c r="AH57" s="10">
        <v>0.765595179744048</v>
      </c>
      <c r="AI57" s="10">
        <v>0.065681408038133</v>
      </c>
      <c r="AJ57" s="10"/>
      <c r="AK57" s="11"/>
      <c r="AL57" s="11"/>
      <c r="AM57" s="11"/>
      <c r="AN57" s="11"/>
      <c r="AO57" s="9">
        <v>517034090.33</v>
      </c>
      <c r="AP57" s="9">
        <v>31527653.97</v>
      </c>
      <c r="AQ57" s="9">
        <v>35546186.39</v>
      </c>
      <c r="AR57" s="9">
        <v>38448878.65</v>
      </c>
      <c r="AS57" s="9">
        <v>29564379.34</v>
      </c>
      <c r="AT57" s="10">
        <v>0.939444730087899</v>
      </c>
      <c r="AU57" s="10">
        <v>0.759593027582697</v>
      </c>
      <c r="AV57" s="10">
        <v>0.0636097340255299</v>
      </c>
      <c r="AW57" s="10"/>
      <c r="AX57" s="11"/>
      <c r="AY57" s="11"/>
      <c r="AZ57" s="11"/>
      <c r="BA57" s="11"/>
      <c r="BB57" s="9">
        <f t="shared" ref="BB57:BF57" si="76">SUM(B57,O57,)</f>
        <v>0</v>
      </c>
      <c r="BC57" s="9">
        <f t="shared" si="76"/>
        <v>0</v>
      </c>
      <c r="BD57" s="9">
        <f t="shared" si="76"/>
        <v>0</v>
      </c>
      <c r="BE57" s="9">
        <f t="shared" si="76"/>
        <v>0</v>
      </c>
      <c r="BF57" s="9">
        <f t="shared" si="76"/>
        <v>0</v>
      </c>
      <c r="BG57" s="10">
        <f t="shared" ref="BG57:BI57" si="77">AVERAGE(G57,T57,AT57,AG57)</f>
        <v>0.478740828721473</v>
      </c>
      <c r="BH57" s="10">
        <f t="shared" si="77"/>
        <v>0.381297051831686</v>
      </c>
      <c r="BI57" s="10">
        <f t="shared" si="77"/>
        <v>0.0323227855159157</v>
      </c>
      <c r="BJ57" s="11"/>
      <c r="BK57" s="11"/>
      <c r="BL57" s="11"/>
      <c r="BM57" s="11"/>
      <c r="BN57" s="11"/>
    </row>
    <row r="58" s="1" customFormat="1" spans="1:66">
      <c r="A58" s="9" t="s">
        <v>69</v>
      </c>
      <c r="B58" s="9">
        <v>621552263.78</v>
      </c>
      <c r="C58" s="9">
        <v>33095948.86</v>
      </c>
      <c r="D58" s="9">
        <v>33504954.34</v>
      </c>
      <c r="E58" s="9">
        <v>37894707.6</v>
      </c>
      <c r="F58" s="9">
        <v>32077836.59</v>
      </c>
      <c r="G58" s="10">
        <v>0.900236065957607</v>
      </c>
      <c r="H58" s="10">
        <v>0.747312521595851</v>
      </c>
      <c r="I58" s="10">
        <v>0.0597136167027741</v>
      </c>
      <c r="J58" s="10"/>
      <c r="K58" s="11"/>
      <c r="L58" s="11"/>
      <c r="M58" s="11"/>
      <c r="N58" s="11"/>
      <c r="O58" s="9">
        <v>629730203.14</v>
      </c>
      <c r="P58" s="9">
        <v>34034858.4</v>
      </c>
      <c r="Q58" s="9">
        <v>30972897.38</v>
      </c>
      <c r="R58" s="9">
        <v>39171385.03</v>
      </c>
      <c r="S58" s="9">
        <v>32739704.69</v>
      </c>
      <c r="T58" s="10">
        <v>0.900236065957607</v>
      </c>
      <c r="U58" s="10">
        <v>0.747312521595851</v>
      </c>
      <c r="V58" s="10">
        <v>0.0597136167027741</v>
      </c>
      <c r="W58" s="10"/>
      <c r="X58" s="11"/>
      <c r="Y58" s="11"/>
      <c r="Z58" s="11"/>
      <c r="AA58" s="11"/>
      <c r="AB58" s="9">
        <v>633628008.76</v>
      </c>
      <c r="AC58" s="9">
        <v>33991175.93</v>
      </c>
      <c r="AD58" s="9">
        <v>36740940.71</v>
      </c>
      <c r="AE58" s="9">
        <v>40106671.44</v>
      </c>
      <c r="AF58" s="9">
        <v>33978187.37</v>
      </c>
      <c r="AG58" s="10">
        <v>0.97028351484857</v>
      </c>
      <c r="AH58" s="10">
        <v>0.750938186045708</v>
      </c>
      <c r="AI58" s="10">
        <v>0.0610798795540094</v>
      </c>
      <c r="AJ58" s="10"/>
      <c r="AK58" s="11"/>
      <c r="AL58" s="11"/>
      <c r="AM58" s="11"/>
      <c r="AN58" s="11"/>
      <c r="AO58" s="9">
        <v>636242525.51</v>
      </c>
      <c r="AP58" s="9">
        <v>34711311.14</v>
      </c>
      <c r="AQ58" s="9">
        <v>40864719.57</v>
      </c>
      <c r="AR58" s="9">
        <v>40622541.2</v>
      </c>
      <c r="AS58" s="9">
        <v>34908870.05</v>
      </c>
      <c r="AT58" s="10">
        <v>1.14412620062069</v>
      </c>
      <c r="AU58" s="10">
        <v>0.849782472093787</v>
      </c>
      <c r="AV58" s="10">
        <v>0.0631109228752313</v>
      </c>
      <c r="AW58" s="10"/>
      <c r="AX58" s="11"/>
      <c r="AY58" s="11"/>
      <c r="AZ58" s="11"/>
      <c r="BA58" s="11"/>
      <c r="BB58" s="9">
        <f t="shared" ref="BB58:BF58" si="78">SUM(B58,O58,)</f>
        <v>1251282466.92</v>
      </c>
      <c r="BC58" s="9">
        <f t="shared" si="78"/>
        <v>67130807.26</v>
      </c>
      <c r="BD58" s="9">
        <f t="shared" si="78"/>
        <v>64477851.72</v>
      </c>
      <c r="BE58" s="9">
        <f t="shared" si="78"/>
        <v>77066092.63</v>
      </c>
      <c r="BF58" s="9">
        <f t="shared" si="78"/>
        <v>64817541.28</v>
      </c>
      <c r="BG58" s="10">
        <f t="shared" ref="BG58:BI58" si="79">AVERAGE(G58,T58,AT58,AG58)</f>
        <v>0.978720461846118</v>
      </c>
      <c r="BH58" s="10">
        <f t="shared" si="79"/>
        <v>0.773836425332799</v>
      </c>
      <c r="BI58" s="10">
        <f t="shared" si="79"/>
        <v>0.0609045089586972</v>
      </c>
      <c r="BJ58" s="11"/>
      <c r="BK58" s="11"/>
      <c r="BL58" s="11"/>
      <c r="BM58" s="11"/>
      <c r="BN58" s="11"/>
    </row>
    <row r="59" s="1" customFormat="1" spans="1:66">
      <c r="A59" s="9" t="s">
        <v>70</v>
      </c>
      <c r="B59" s="9">
        <v>654832101.82</v>
      </c>
      <c r="C59" s="9">
        <v>32857962.79</v>
      </c>
      <c r="D59" s="9">
        <v>62261711.38</v>
      </c>
      <c r="E59" s="9">
        <v>36028490.84</v>
      </c>
      <c r="F59" s="9">
        <v>32329186.76</v>
      </c>
      <c r="G59" s="10">
        <v>1.01527292989057</v>
      </c>
      <c r="H59" s="10">
        <v>0.940094741438486</v>
      </c>
      <c r="I59" s="10">
        <v>0.0529406012054061</v>
      </c>
      <c r="J59" s="10"/>
      <c r="K59" s="11"/>
      <c r="L59" s="11"/>
      <c r="M59" s="11"/>
      <c r="N59" s="11"/>
      <c r="O59" s="9">
        <v>669179063.27</v>
      </c>
      <c r="P59" s="9">
        <v>33246194.81</v>
      </c>
      <c r="Q59" s="9">
        <v>31769067.26</v>
      </c>
      <c r="R59" s="9">
        <v>36748241.17</v>
      </c>
      <c r="S59" s="9">
        <v>33640825.6</v>
      </c>
      <c r="T59" s="10">
        <v>1.01527292989057</v>
      </c>
      <c r="U59" s="10">
        <v>0.940094741438486</v>
      </c>
      <c r="V59" s="10">
        <v>0.0529406012054061</v>
      </c>
      <c r="W59" s="10"/>
      <c r="X59" s="11"/>
      <c r="Y59" s="11"/>
      <c r="Z59" s="11"/>
      <c r="AA59" s="11"/>
      <c r="AB59" s="9">
        <v>651785817.11</v>
      </c>
      <c r="AC59" s="9">
        <v>33312585.51</v>
      </c>
      <c r="AD59" s="9">
        <v>55806764.28</v>
      </c>
      <c r="AE59" s="9">
        <v>36288278.49</v>
      </c>
      <c r="AF59" s="9">
        <v>32525960.17</v>
      </c>
      <c r="AG59" s="10">
        <v>0.982915993991677</v>
      </c>
      <c r="AH59" s="10">
        <v>0.925761421510099</v>
      </c>
      <c r="AI59" s="10">
        <v>0.0531353093254998</v>
      </c>
      <c r="AJ59" s="10"/>
      <c r="AK59" s="11"/>
      <c r="AL59" s="11"/>
      <c r="AM59" s="11"/>
      <c r="AN59" s="11"/>
      <c r="AO59" s="9">
        <v>658928153.93</v>
      </c>
      <c r="AP59" s="9">
        <v>33989805.17</v>
      </c>
      <c r="AQ59" s="9">
        <v>37013721.98</v>
      </c>
      <c r="AR59" s="9">
        <v>37465957.26</v>
      </c>
      <c r="AS59" s="9">
        <v>30961619.66</v>
      </c>
      <c r="AT59" s="10">
        <v>0.893337575669156</v>
      </c>
      <c r="AU59" s="10">
        <v>0.837424525312965</v>
      </c>
      <c r="AV59" s="10">
        <v>0.0545090973692526</v>
      </c>
      <c r="AW59" s="10"/>
      <c r="AX59" s="11"/>
      <c r="AY59" s="11"/>
      <c r="AZ59" s="11"/>
      <c r="BA59" s="11"/>
      <c r="BB59" s="9">
        <f t="shared" ref="BB59:BF59" si="80">SUM(B59,O59,)</f>
        <v>1324011165.09</v>
      </c>
      <c r="BC59" s="9">
        <f t="shared" si="80"/>
        <v>66104157.6</v>
      </c>
      <c r="BD59" s="9">
        <f t="shared" si="80"/>
        <v>94030778.64</v>
      </c>
      <c r="BE59" s="9">
        <f t="shared" si="80"/>
        <v>72776732.01</v>
      </c>
      <c r="BF59" s="9">
        <f t="shared" si="80"/>
        <v>65970012.36</v>
      </c>
      <c r="BG59" s="10">
        <f t="shared" ref="BG59:BI59" si="81">AVERAGE(G59,T59,AT59,AG59)</f>
        <v>0.976699857360493</v>
      </c>
      <c r="BH59" s="10">
        <f t="shared" si="81"/>
        <v>0.910843857425009</v>
      </c>
      <c r="BI59" s="10">
        <f t="shared" si="81"/>
        <v>0.0533814022763912</v>
      </c>
      <c r="BJ59" s="11"/>
      <c r="BK59" s="11"/>
      <c r="BL59" s="11"/>
      <c r="BM59" s="11"/>
      <c r="BN59" s="11"/>
    </row>
    <row r="60" s="1" customFormat="1" spans="1:66">
      <c r="A60" s="9" t="s">
        <v>71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10">
        <v>0</v>
      </c>
      <c r="H60" s="10">
        <v>0</v>
      </c>
      <c r="I60" s="10">
        <v>0</v>
      </c>
      <c r="J60" s="10"/>
      <c r="K60" s="11"/>
      <c r="L60" s="11"/>
      <c r="M60" s="11"/>
      <c r="N60" s="11"/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10">
        <v>0</v>
      </c>
      <c r="U60" s="10">
        <v>0</v>
      </c>
      <c r="V60" s="10">
        <v>0</v>
      </c>
      <c r="W60" s="10"/>
      <c r="X60" s="11"/>
      <c r="Y60" s="11"/>
      <c r="Z60" s="11"/>
      <c r="AA60" s="11"/>
      <c r="AB60" s="9">
        <v>10000000</v>
      </c>
      <c r="AC60" s="9">
        <v>478979.03</v>
      </c>
      <c r="AD60" s="9">
        <v>478979.03</v>
      </c>
      <c r="AE60" s="9">
        <v>478979.03</v>
      </c>
      <c r="AF60" s="9">
        <v>478979.03</v>
      </c>
      <c r="AG60" s="10">
        <v>0.5</v>
      </c>
      <c r="AH60" s="10">
        <v>0.5</v>
      </c>
      <c r="AI60" s="10">
        <v>0.0239489515</v>
      </c>
      <c r="AJ60" s="10"/>
      <c r="AK60" s="11"/>
      <c r="AL60" s="11"/>
      <c r="AM60" s="11"/>
      <c r="AN60" s="11"/>
      <c r="AO60" s="9">
        <v>16800298.75</v>
      </c>
      <c r="AP60" s="9">
        <v>879568.9</v>
      </c>
      <c r="AQ60" s="9">
        <v>879769.6</v>
      </c>
      <c r="AR60" s="9">
        <v>879568.9</v>
      </c>
      <c r="AS60" s="9">
        <v>879568.9</v>
      </c>
      <c r="AT60" s="10">
        <v>0.5</v>
      </c>
      <c r="AU60" s="10">
        <v>0.5</v>
      </c>
      <c r="AV60" s="10">
        <v>0.0261771803313914</v>
      </c>
      <c r="AW60" s="10"/>
      <c r="AX60" s="11"/>
      <c r="AY60" s="11"/>
      <c r="AZ60" s="11"/>
      <c r="BA60" s="11"/>
      <c r="BB60" s="9">
        <f t="shared" ref="BB60:BF60" si="82">SUM(B60,O60,)</f>
        <v>0</v>
      </c>
      <c r="BC60" s="9">
        <f t="shared" si="82"/>
        <v>0</v>
      </c>
      <c r="BD60" s="9">
        <f t="shared" si="82"/>
        <v>0</v>
      </c>
      <c r="BE60" s="9">
        <f t="shared" si="82"/>
        <v>0</v>
      </c>
      <c r="BF60" s="9">
        <f t="shared" si="82"/>
        <v>0</v>
      </c>
      <c r="BG60" s="10">
        <f t="shared" ref="BG60:BI60" si="83">AVERAGE(G60,T60,AT60,AG60)</f>
        <v>0.25</v>
      </c>
      <c r="BH60" s="10">
        <f t="shared" si="83"/>
        <v>0.25</v>
      </c>
      <c r="BI60" s="10">
        <f t="shared" si="83"/>
        <v>0.0125315329578479</v>
      </c>
      <c r="BJ60" s="11"/>
      <c r="BK60" s="11"/>
      <c r="BL60" s="11"/>
      <c r="BM60" s="11"/>
      <c r="BN60" s="11"/>
    </row>
    <row r="61" s="1" customFormat="1" spans="1:66">
      <c r="A61" s="12" t="s">
        <v>72</v>
      </c>
      <c r="B61" s="12">
        <v>2209840184.97</v>
      </c>
      <c r="C61" s="12">
        <v>119487679.97</v>
      </c>
      <c r="D61" s="12">
        <v>145903351.61</v>
      </c>
      <c r="E61" s="12">
        <v>139175609.86</v>
      </c>
      <c r="F61" s="12">
        <v>114586253.32</v>
      </c>
      <c r="G61" s="13">
        <v>0.962539903018142</v>
      </c>
      <c r="H61" s="13">
        <v>0.825197115110661</v>
      </c>
      <c r="I61" s="13">
        <v>0.0595527039056375</v>
      </c>
      <c r="J61" s="13"/>
      <c r="K61" s="11"/>
      <c r="L61" s="11"/>
      <c r="M61" s="11"/>
      <c r="N61" s="11"/>
      <c r="O61" s="12">
        <v>2258627763.81</v>
      </c>
      <c r="P61" s="12">
        <v>122966420.66</v>
      </c>
      <c r="Q61" s="12">
        <v>111029381.17</v>
      </c>
      <c r="R61" s="12">
        <v>145719418.7</v>
      </c>
      <c r="S61" s="12">
        <v>120946939.6</v>
      </c>
      <c r="T61" s="13">
        <v>0.962539903018142</v>
      </c>
      <c r="U61" s="13">
        <v>0.825197115110661</v>
      </c>
      <c r="V61" s="13">
        <v>0.0595527039056375</v>
      </c>
      <c r="W61" s="13"/>
      <c r="X61" s="11"/>
      <c r="Y61" s="11"/>
      <c r="Z61" s="11"/>
      <c r="AA61" s="11"/>
      <c r="AB61" s="12">
        <v>2279181823.29</v>
      </c>
      <c r="AC61" s="12">
        <v>124383439.43</v>
      </c>
      <c r="AD61" s="12">
        <v>171284420.79</v>
      </c>
      <c r="AE61" s="12">
        <v>146903201.45</v>
      </c>
      <c r="AF61" s="12">
        <v>121390676.61</v>
      </c>
      <c r="AG61" s="13">
        <v>0.975116552517817</v>
      </c>
      <c r="AH61" s="13">
        <v>0.818922858771092</v>
      </c>
      <c r="AI61" s="13">
        <v>0.0597716590896187</v>
      </c>
      <c r="AJ61" s="13"/>
      <c r="AK61" s="11"/>
      <c r="AL61" s="11"/>
      <c r="AM61" s="11"/>
      <c r="AN61" s="11"/>
      <c r="AO61" s="12">
        <v>2348983184.17</v>
      </c>
      <c r="AP61" s="12">
        <v>128663057.81</v>
      </c>
      <c r="AQ61" s="12">
        <v>152609015.58</v>
      </c>
      <c r="AR61" s="12">
        <v>152924218.24</v>
      </c>
      <c r="AS61" s="12">
        <v>122184199.67</v>
      </c>
      <c r="AT61" s="13">
        <v>0.966371199581683</v>
      </c>
      <c r="AU61" s="13">
        <v>0.811786052399261</v>
      </c>
      <c r="AV61" s="13">
        <v>0.0604655169603346</v>
      </c>
      <c r="AW61" s="13"/>
      <c r="AX61" s="11"/>
      <c r="AY61" s="11"/>
      <c r="AZ61" s="11"/>
      <c r="BA61" s="11"/>
      <c r="BB61" s="12">
        <v>2209840184.97</v>
      </c>
      <c r="BC61" s="12">
        <v>119487679.97</v>
      </c>
      <c r="BD61" s="12">
        <v>145903351.61</v>
      </c>
      <c r="BE61" s="12">
        <v>139175609.86</v>
      </c>
      <c r="BF61" s="12">
        <v>114586253.32</v>
      </c>
      <c r="BG61" s="13">
        <v>0.962539903018142</v>
      </c>
      <c r="BH61" s="13">
        <v>0.825197115110661</v>
      </c>
      <c r="BI61" s="13">
        <v>0.0595527039056375</v>
      </c>
      <c r="BJ61" s="11"/>
      <c r="BK61" s="11"/>
      <c r="BL61" s="11"/>
      <c r="BM61" s="11"/>
      <c r="BN61" s="11"/>
    </row>
    <row r="62" s="1" customFormat="1" spans="1:66">
      <c r="A62" s="14" t="s">
        <v>73</v>
      </c>
      <c r="B62" s="14">
        <v>3682370876.24</v>
      </c>
      <c r="C62" s="14">
        <v>189709828.58</v>
      </c>
      <c r="D62" s="14">
        <v>225082507.12</v>
      </c>
      <c r="E62" s="14">
        <v>229268622.89</v>
      </c>
      <c r="F62" s="14">
        <v>178367027.47</v>
      </c>
      <c r="G62" s="15">
        <v>0.9780712582664</v>
      </c>
      <c r="H62" s="15">
        <v>0.813603006606469</v>
      </c>
      <c r="I62" s="15">
        <v>0.0563237144319347</v>
      </c>
      <c r="J62" s="15"/>
      <c r="K62" s="11"/>
      <c r="L62" s="11"/>
      <c r="M62" s="11"/>
      <c r="N62" s="11"/>
      <c r="O62" s="14">
        <v>3748606103.57</v>
      </c>
      <c r="P62" s="14">
        <v>193759025.8</v>
      </c>
      <c r="Q62" s="14">
        <v>173365825.23</v>
      </c>
      <c r="R62" s="14">
        <v>240914447.28</v>
      </c>
      <c r="S62" s="14">
        <v>190860928.36</v>
      </c>
      <c r="T62" s="15">
        <v>0.9780712582664</v>
      </c>
      <c r="U62" s="15">
        <v>0.813603006606469</v>
      </c>
      <c r="V62" s="15">
        <v>0.0563237144319347</v>
      </c>
      <c r="W62" s="15"/>
      <c r="X62" s="11"/>
      <c r="Y62" s="11"/>
      <c r="Z62" s="11"/>
      <c r="AA62" s="11"/>
      <c r="AB62" s="14">
        <v>3733506810.16</v>
      </c>
      <c r="AC62" s="14">
        <v>194330768.04</v>
      </c>
      <c r="AD62" s="14">
        <v>243017270.02</v>
      </c>
      <c r="AE62" s="14">
        <v>238852551.91</v>
      </c>
      <c r="AF62" s="14">
        <v>187521348.82</v>
      </c>
      <c r="AG62" s="15">
        <v>0.971421134990429</v>
      </c>
      <c r="AH62" s="15">
        <v>0.805450944223023</v>
      </c>
      <c r="AI62" s="15">
        <v>0.0564091238212841</v>
      </c>
      <c r="AJ62" s="15"/>
      <c r="AK62" s="11"/>
      <c r="AL62" s="11"/>
      <c r="AM62" s="11"/>
      <c r="AN62" s="11"/>
      <c r="AO62" s="14">
        <v>3788016608.94</v>
      </c>
      <c r="AP62" s="14">
        <v>199494027.47</v>
      </c>
      <c r="AQ62" s="14">
        <v>238545736.85</v>
      </c>
      <c r="AR62" s="14">
        <v>248471936.53</v>
      </c>
      <c r="AS62" s="14">
        <v>186444597.85</v>
      </c>
      <c r="AT62" s="15">
        <v>0.935379276492909</v>
      </c>
      <c r="AU62" s="15">
        <v>0.775117137203624</v>
      </c>
      <c r="AV62" s="15">
        <v>0.0578098154634265</v>
      </c>
      <c r="AW62" s="15"/>
      <c r="AX62" s="11"/>
      <c r="AY62" s="11"/>
      <c r="AZ62" s="11"/>
      <c r="BA62" s="11"/>
      <c r="BB62" s="14">
        <v>3682370876.24</v>
      </c>
      <c r="BC62" s="14">
        <v>189709828.58</v>
      </c>
      <c r="BD62" s="14">
        <v>225082507.12</v>
      </c>
      <c r="BE62" s="14">
        <v>229268622.89</v>
      </c>
      <c r="BF62" s="14">
        <v>178367027.47</v>
      </c>
      <c r="BG62" s="15">
        <v>0.9780712582664</v>
      </c>
      <c r="BH62" s="15">
        <v>0.813603006606469</v>
      </c>
      <c r="BI62" s="15">
        <v>0.0563237144319347</v>
      </c>
      <c r="BJ62" s="11"/>
      <c r="BK62" s="11"/>
      <c r="BL62" s="11"/>
      <c r="BM62" s="11"/>
      <c r="BN62" s="11"/>
    </row>
    <row r="63" s="1" customFormat="1" spans="1:66">
      <c r="A63" s="9" t="s">
        <v>75</v>
      </c>
      <c r="B63" s="9">
        <v>683839029.65</v>
      </c>
      <c r="C63" s="9">
        <v>55180319.91</v>
      </c>
      <c r="D63" s="9">
        <v>55840846.06</v>
      </c>
      <c r="E63" s="9">
        <v>64893298.59</v>
      </c>
      <c r="F63" s="9">
        <v>51677187.06</v>
      </c>
      <c r="G63" s="10">
        <v>0.984566621441083</v>
      </c>
      <c r="H63" s="10">
        <v>0.801388012786536</v>
      </c>
      <c r="I63" s="10">
        <v>0.119987837452295</v>
      </c>
      <c r="J63" s="10"/>
      <c r="K63" s="11"/>
      <c r="L63" s="11"/>
      <c r="M63" s="11"/>
      <c r="N63" s="11"/>
      <c r="O63" s="9">
        <v>675421874.39</v>
      </c>
      <c r="P63" s="9">
        <v>54812955.48</v>
      </c>
      <c r="Q63" s="9">
        <v>49421039.94</v>
      </c>
      <c r="R63" s="9">
        <v>66710720.62</v>
      </c>
      <c r="S63" s="9">
        <v>52477823.97</v>
      </c>
      <c r="T63" s="10">
        <v>0.984566621441083</v>
      </c>
      <c r="U63" s="10">
        <v>0.801388012786536</v>
      </c>
      <c r="V63" s="10">
        <v>0.119987837452295</v>
      </c>
      <c r="W63" s="10"/>
      <c r="X63" s="11"/>
      <c r="Y63" s="11"/>
      <c r="Z63" s="11"/>
      <c r="AA63" s="11"/>
      <c r="AB63" s="9">
        <v>649733972.76</v>
      </c>
      <c r="AC63" s="9">
        <v>54245079.97</v>
      </c>
      <c r="AD63" s="9">
        <v>64250093.64</v>
      </c>
      <c r="AE63" s="9">
        <v>65440847.55</v>
      </c>
      <c r="AF63" s="9">
        <v>52926022.51</v>
      </c>
      <c r="AG63" s="10">
        <v>1.03255996797589</v>
      </c>
      <c r="AH63" s="10">
        <v>0.851481782940651</v>
      </c>
      <c r="AI63" s="10">
        <v>0.127425407522788</v>
      </c>
      <c r="AJ63" s="10"/>
      <c r="AK63" s="11"/>
      <c r="AL63" s="11"/>
      <c r="AM63" s="11"/>
      <c r="AN63" s="11"/>
      <c r="AO63" s="9">
        <v>686039614.940001</v>
      </c>
      <c r="AP63" s="9">
        <v>54994380.99</v>
      </c>
      <c r="AQ63" s="9">
        <v>53980292.67</v>
      </c>
      <c r="AR63" s="9">
        <v>66223018.26</v>
      </c>
      <c r="AS63" s="9">
        <v>47840134.2299999</v>
      </c>
      <c r="AT63" s="10">
        <v>0.789849824952937</v>
      </c>
      <c r="AU63" s="10">
        <v>0.680021172068293</v>
      </c>
      <c r="AV63" s="10">
        <v>0.108387034725708</v>
      </c>
      <c r="AW63" s="10"/>
      <c r="AX63" s="11"/>
      <c r="AY63" s="11"/>
      <c r="AZ63" s="11"/>
      <c r="BA63" s="11"/>
      <c r="BB63" s="9">
        <f t="shared" ref="BB63:BF63" si="84">SUM(B63,O63,)</f>
        <v>1359260904.04</v>
      </c>
      <c r="BC63" s="9">
        <f t="shared" si="84"/>
        <v>109993275.39</v>
      </c>
      <c r="BD63" s="9">
        <f t="shared" si="84"/>
        <v>105261886</v>
      </c>
      <c r="BE63" s="9">
        <f t="shared" si="84"/>
        <v>131604019.21</v>
      </c>
      <c r="BF63" s="9">
        <f t="shared" si="84"/>
        <v>104155011.03</v>
      </c>
      <c r="BG63" s="10">
        <f t="shared" ref="BG63:BI63" si="85">AVERAGE(G63,T63,AT63,AG63)</f>
        <v>0.947885758952749</v>
      </c>
      <c r="BH63" s="10">
        <f t="shared" si="85"/>
        <v>0.783569745145504</v>
      </c>
      <c r="BI63" s="10">
        <f t="shared" si="85"/>
        <v>0.118947029288271</v>
      </c>
      <c r="BJ63" s="11"/>
      <c r="BK63" s="11"/>
      <c r="BL63" s="11"/>
      <c r="BM63" s="11"/>
      <c r="BN63" s="11"/>
    </row>
    <row r="64" s="1" customFormat="1" spans="1:66">
      <c r="A64" s="9" t="s">
        <v>76</v>
      </c>
      <c r="B64" s="9">
        <v>143010538.21</v>
      </c>
      <c r="C64" s="9">
        <v>9445850.17</v>
      </c>
      <c r="D64" s="9">
        <v>8941777.26</v>
      </c>
      <c r="E64" s="9">
        <v>9639268.23</v>
      </c>
      <c r="F64" s="9">
        <v>9456378.36</v>
      </c>
      <c r="G64" s="10">
        <v>1.00018105845428</v>
      </c>
      <c r="H64" s="10">
        <v>0.990965170738051</v>
      </c>
      <c r="I64" s="10">
        <v>0.0803733353266202</v>
      </c>
      <c r="J64" s="10"/>
      <c r="K64" s="11"/>
      <c r="L64" s="11"/>
      <c r="M64" s="11"/>
      <c r="N64" s="11"/>
      <c r="O64" s="9">
        <v>151467633.79</v>
      </c>
      <c r="P64" s="9">
        <v>10264843.62</v>
      </c>
      <c r="Q64" s="9">
        <v>9456378.36</v>
      </c>
      <c r="R64" s="9">
        <v>10447733.49</v>
      </c>
      <c r="S64" s="9">
        <v>10268371.81</v>
      </c>
      <c r="T64" s="10">
        <v>1.00018105845428</v>
      </c>
      <c r="U64" s="10">
        <v>0.990965170738051</v>
      </c>
      <c r="V64" s="10">
        <v>0.0803733353266202</v>
      </c>
      <c r="W64" s="10"/>
      <c r="X64" s="11"/>
      <c r="Y64" s="11"/>
      <c r="Z64" s="11"/>
      <c r="AA64" s="11"/>
      <c r="AB64" s="9">
        <v>161375741.47</v>
      </c>
      <c r="AC64" s="9">
        <v>11434771.88</v>
      </c>
      <c r="AD64" s="9">
        <v>11456244.06</v>
      </c>
      <c r="AE64" s="9">
        <v>11614133.56</v>
      </c>
      <c r="AF64" s="9">
        <v>11437800.07</v>
      </c>
      <c r="AG64" s="10">
        <v>1.00013874025492</v>
      </c>
      <c r="AH64" s="10">
        <v>0.992051697111591</v>
      </c>
      <c r="AI64" s="10">
        <v>0.0858796274716067</v>
      </c>
      <c r="AJ64" s="10"/>
      <c r="AK64" s="11"/>
      <c r="AL64" s="11"/>
      <c r="AM64" s="11"/>
      <c r="AN64" s="11"/>
      <c r="AO64" s="9">
        <v>175355515.63</v>
      </c>
      <c r="AP64" s="9">
        <v>12427828.31</v>
      </c>
      <c r="AQ64" s="9">
        <v>13647898.66</v>
      </c>
      <c r="AR64" s="9">
        <v>12602604.47</v>
      </c>
      <c r="AS64" s="9">
        <v>12209663.41</v>
      </c>
      <c r="AT64" s="10">
        <v>0.786778023609522</v>
      </c>
      <c r="AU64" s="10">
        <v>0.780403776225785</v>
      </c>
      <c r="AV64" s="10">
        <v>0.0830148430927644</v>
      </c>
      <c r="AW64" s="10"/>
      <c r="AX64" s="11"/>
      <c r="AY64" s="11"/>
      <c r="AZ64" s="11"/>
      <c r="BA64" s="11"/>
      <c r="BB64" s="9">
        <f t="shared" ref="BB64:BF64" si="86">SUM(B64,O64,)</f>
        <v>294478172</v>
      </c>
      <c r="BC64" s="9">
        <f t="shared" si="86"/>
        <v>19710693.79</v>
      </c>
      <c r="BD64" s="9">
        <f t="shared" si="86"/>
        <v>18398155.62</v>
      </c>
      <c r="BE64" s="9">
        <f t="shared" si="86"/>
        <v>20087001.72</v>
      </c>
      <c r="BF64" s="9">
        <f t="shared" si="86"/>
        <v>19724750.17</v>
      </c>
      <c r="BG64" s="10">
        <f t="shared" ref="BG64:BI64" si="87">AVERAGE(G64,T64,AT64,AG64)</f>
        <v>0.946819720193252</v>
      </c>
      <c r="BH64" s="10">
        <f t="shared" si="87"/>
        <v>0.93859645370337</v>
      </c>
      <c r="BI64" s="10">
        <f t="shared" si="87"/>
        <v>0.0824102853044029</v>
      </c>
      <c r="BJ64" s="11"/>
      <c r="BK64" s="11"/>
      <c r="BL64" s="11"/>
      <c r="BM64" s="11"/>
      <c r="BN64" s="11"/>
    </row>
    <row r="65" s="1" customFormat="1" spans="1:66">
      <c r="A65" s="9" t="s">
        <v>74</v>
      </c>
      <c r="B65" s="9">
        <v>69126703.93</v>
      </c>
      <c r="C65" s="9">
        <v>3966231.22</v>
      </c>
      <c r="D65" s="9">
        <v>3969124.26</v>
      </c>
      <c r="E65" s="9">
        <v>3966231.22</v>
      </c>
      <c r="F65" s="9">
        <v>3966231.22</v>
      </c>
      <c r="G65" s="10">
        <v>0.5</v>
      </c>
      <c r="H65" s="10">
        <v>0.5</v>
      </c>
      <c r="I65" s="10">
        <v>0.0295106669910709</v>
      </c>
      <c r="J65" s="10"/>
      <c r="K65" s="11"/>
      <c r="L65" s="11"/>
      <c r="M65" s="11"/>
      <c r="N65" s="11"/>
      <c r="O65" s="9">
        <v>78638919.3</v>
      </c>
      <c r="P65" s="9">
        <v>4641373.92</v>
      </c>
      <c r="Q65" s="9">
        <v>3966231.22</v>
      </c>
      <c r="R65" s="9">
        <v>4641373.92</v>
      </c>
      <c r="S65" s="9">
        <v>4641373.92</v>
      </c>
      <c r="T65" s="10">
        <v>0.5</v>
      </c>
      <c r="U65" s="10">
        <v>0.5</v>
      </c>
      <c r="V65" s="10">
        <v>0.0295106669910709</v>
      </c>
      <c r="W65" s="10"/>
      <c r="X65" s="11"/>
      <c r="Y65" s="11"/>
      <c r="Z65" s="11"/>
      <c r="AA65" s="11"/>
      <c r="AB65" s="9">
        <v>78053933.46</v>
      </c>
      <c r="AC65" s="9">
        <v>4958866.41</v>
      </c>
      <c r="AD65" s="9">
        <v>4966141.15</v>
      </c>
      <c r="AE65" s="9">
        <v>4958866.41</v>
      </c>
      <c r="AF65" s="9">
        <v>4958866.41</v>
      </c>
      <c r="AG65" s="10">
        <v>0.5</v>
      </c>
      <c r="AH65" s="10">
        <v>0.5</v>
      </c>
      <c r="AI65" s="10">
        <v>0.0317656406934396</v>
      </c>
      <c r="AJ65" s="10"/>
      <c r="AK65" s="11"/>
      <c r="AL65" s="11"/>
      <c r="AM65" s="11"/>
      <c r="AN65" s="11"/>
      <c r="AO65" s="9">
        <v>84122315.61</v>
      </c>
      <c r="AP65" s="9">
        <v>5337189.01</v>
      </c>
      <c r="AQ65" s="9">
        <v>5341240.26</v>
      </c>
      <c r="AR65" s="9">
        <v>5337189.01</v>
      </c>
      <c r="AS65" s="9">
        <v>5337189.01</v>
      </c>
      <c r="AT65" s="10">
        <v>0.5</v>
      </c>
      <c r="AU65" s="10">
        <v>0.5</v>
      </c>
      <c r="AV65" s="10">
        <v>0.0317227894364188</v>
      </c>
      <c r="AW65" s="10"/>
      <c r="AX65" s="11"/>
      <c r="AY65" s="11"/>
      <c r="AZ65" s="11"/>
      <c r="BA65" s="11"/>
      <c r="BB65" s="9">
        <f t="shared" ref="BB65:BF65" si="88">SUM(B65,O65,)</f>
        <v>147765623.23</v>
      </c>
      <c r="BC65" s="9">
        <f t="shared" si="88"/>
        <v>8607605.14</v>
      </c>
      <c r="BD65" s="9">
        <f t="shared" si="88"/>
        <v>7935355.48</v>
      </c>
      <c r="BE65" s="9">
        <f t="shared" si="88"/>
        <v>8607605.14</v>
      </c>
      <c r="BF65" s="9">
        <f t="shared" si="88"/>
        <v>8607605.14</v>
      </c>
      <c r="BG65" s="10">
        <f t="shared" ref="BG65:BI65" si="89">AVERAGE(G65,T65,AT65,AG65)</f>
        <v>0.5</v>
      </c>
      <c r="BH65" s="10">
        <f t="shared" si="89"/>
        <v>0.5</v>
      </c>
      <c r="BI65" s="10">
        <f t="shared" si="89"/>
        <v>0.0306274410280001</v>
      </c>
      <c r="BJ65" s="11"/>
      <c r="BK65" s="11"/>
      <c r="BL65" s="11"/>
      <c r="BM65" s="11"/>
      <c r="BN65" s="11"/>
    </row>
    <row r="66" s="1" customFormat="1" spans="1:66">
      <c r="A66" s="12" t="s">
        <v>77</v>
      </c>
      <c r="B66" s="12">
        <v>895976271.79</v>
      </c>
      <c r="C66" s="12">
        <v>68592401.3</v>
      </c>
      <c r="D66" s="12">
        <v>68751747.58</v>
      </c>
      <c r="E66" s="12">
        <v>78498798.04</v>
      </c>
      <c r="F66" s="12">
        <v>65099796.64</v>
      </c>
      <c r="G66" s="13">
        <v>0.988204537462418</v>
      </c>
      <c r="H66" s="13">
        <v>0.83361889991969</v>
      </c>
      <c r="I66" s="13">
        <v>0.110617823632224</v>
      </c>
      <c r="J66" s="13"/>
      <c r="K66" s="11"/>
      <c r="L66" s="11"/>
      <c r="M66" s="11"/>
      <c r="N66" s="11"/>
      <c r="O66" s="12">
        <v>905528427.48</v>
      </c>
      <c r="P66" s="12">
        <v>69719173.02</v>
      </c>
      <c r="Q66" s="12">
        <v>62843649.52</v>
      </c>
      <c r="R66" s="12">
        <v>81799828.03</v>
      </c>
      <c r="S66" s="12">
        <v>67387569.7</v>
      </c>
      <c r="T66" s="13">
        <v>0.988204537462418</v>
      </c>
      <c r="U66" s="13">
        <v>0.83361889991969</v>
      </c>
      <c r="V66" s="13">
        <v>0.110617823632224</v>
      </c>
      <c r="W66" s="13"/>
      <c r="X66" s="11"/>
      <c r="Y66" s="11"/>
      <c r="Z66" s="11"/>
      <c r="AA66" s="11"/>
      <c r="AB66" s="12">
        <v>889163647.69</v>
      </c>
      <c r="AC66" s="12">
        <v>70638718.26</v>
      </c>
      <c r="AD66" s="12">
        <v>80672478.85</v>
      </c>
      <c r="AE66" s="12">
        <v>82013847.52</v>
      </c>
      <c r="AF66" s="12">
        <v>69322688.99</v>
      </c>
      <c r="AG66" s="13">
        <v>1.02770665107341</v>
      </c>
      <c r="AH66" s="13">
        <v>0.877929843832513</v>
      </c>
      <c r="AI66" s="13">
        <v>0.117407649672359</v>
      </c>
      <c r="AJ66" s="13"/>
      <c r="AK66" s="11"/>
      <c r="AL66" s="11"/>
      <c r="AM66" s="11"/>
      <c r="AN66" s="11"/>
      <c r="AO66" s="12">
        <v>945517446.180001</v>
      </c>
      <c r="AP66" s="12">
        <v>72759398.31</v>
      </c>
      <c r="AQ66" s="12">
        <v>72969431.59</v>
      </c>
      <c r="AR66" s="12">
        <v>84162811.74</v>
      </c>
      <c r="AS66" s="12">
        <v>65386986.6499999</v>
      </c>
      <c r="AT66" s="13">
        <v>0.794456335548912</v>
      </c>
      <c r="AU66" s="13">
        <v>0.704087355856303</v>
      </c>
      <c r="AV66" s="13">
        <v>0.102225145719782</v>
      </c>
      <c r="AW66" s="13"/>
      <c r="AX66" s="11"/>
      <c r="AY66" s="11"/>
      <c r="AZ66" s="11"/>
      <c r="BA66" s="11"/>
      <c r="BB66" s="12">
        <v>895976271.79</v>
      </c>
      <c r="BC66" s="12">
        <v>68592401.3</v>
      </c>
      <c r="BD66" s="12">
        <v>68751747.58</v>
      </c>
      <c r="BE66" s="12">
        <v>78498798.04</v>
      </c>
      <c r="BF66" s="12">
        <v>65099796.64</v>
      </c>
      <c r="BG66" s="13">
        <v>0.988204537462418</v>
      </c>
      <c r="BH66" s="13">
        <v>0.83361889991969</v>
      </c>
      <c r="BI66" s="13">
        <v>0.110617823632224</v>
      </c>
      <c r="BJ66" s="11"/>
      <c r="BK66" s="11"/>
      <c r="BL66" s="11"/>
      <c r="BM66" s="11"/>
      <c r="BN66" s="11"/>
    </row>
    <row r="67" s="1" customFormat="1" spans="1:66">
      <c r="A67" s="14" t="s">
        <v>78</v>
      </c>
      <c r="B67" s="14">
        <v>895976271.79</v>
      </c>
      <c r="C67" s="14">
        <v>68592401.3</v>
      </c>
      <c r="D67" s="14">
        <v>68751747.58</v>
      </c>
      <c r="E67" s="14">
        <v>78498798.04</v>
      </c>
      <c r="F67" s="14">
        <v>65099796.64</v>
      </c>
      <c r="G67" s="15">
        <v>0.988204537462418</v>
      </c>
      <c r="H67" s="15">
        <v>0.83361889991969</v>
      </c>
      <c r="I67" s="15">
        <v>0.110617823632224</v>
      </c>
      <c r="J67" s="15"/>
      <c r="K67" s="11"/>
      <c r="L67" s="11"/>
      <c r="M67" s="11"/>
      <c r="N67" s="11"/>
      <c r="O67" s="14">
        <v>905528427.48</v>
      </c>
      <c r="P67" s="14">
        <v>69719173.02</v>
      </c>
      <c r="Q67" s="14">
        <v>62843649.52</v>
      </c>
      <c r="R67" s="14">
        <v>81799828.03</v>
      </c>
      <c r="S67" s="14">
        <v>67387569.7</v>
      </c>
      <c r="T67" s="15">
        <v>0.988204537462418</v>
      </c>
      <c r="U67" s="15">
        <v>0.83361889991969</v>
      </c>
      <c r="V67" s="15">
        <v>0.110617823632224</v>
      </c>
      <c r="W67" s="15"/>
      <c r="X67" s="11"/>
      <c r="Y67" s="11"/>
      <c r="Z67" s="11"/>
      <c r="AA67" s="11"/>
      <c r="AB67" s="14">
        <v>889163647.69</v>
      </c>
      <c r="AC67" s="14">
        <v>70638718.26</v>
      </c>
      <c r="AD67" s="14">
        <v>80672478.85</v>
      </c>
      <c r="AE67" s="14">
        <v>82013847.52</v>
      </c>
      <c r="AF67" s="14">
        <v>69322688.99</v>
      </c>
      <c r="AG67" s="15">
        <v>1.02770665107341</v>
      </c>
      <c r="AH67" s="15">
        <v>0.877929843832513</v>
      </c>
      <c r="AI67" s="15">
        <v>0.117407649672359</v>
      </c>
      <c r="AJ67" s="15"/>
      <c r="AK67" s="11"/>
      <c r="AL67" s="11"/>
      <c r="AM67" s="11"/>
      <c r="AN67" s="11"/>
      <c r="AO67" s="14">
        <v>945517446.180001</v>
      </c>
      <c r="AP67" s="14">
        <v>72759398.31</v>
      </c>
      <c r="AQ67" s="14">
        <v>72969431.59</v>
      </c>
      <c r="AR67" s="14">
        <v>84162811.74</v>
      </c>
      <c r="AS67" s="14">
        <v>65386986.6499999</v>
      </c>
      <c r="AT67" s="15">
        <v>0.794456335548912</v>
      </c>
      <c r="AU67" s="15">
        <v>0.704087355856303</v>
      </c>
      <c r="AV67" s="15">
        <v>0.102225145719782</v>
      </c>
      <c r="AW67" s="15"/>
      <c r="AX67" s="11"/>
      <c r="AY67" s="11"/>
      <c r="AZ67" s="11"/>
      <c r="BA67" s="11"/>
      <c r="BB67" s="14">
        <v>895976271.79</v>
      </c>
      <c r="BC67" s="14">
        <v>68592401.3</v>
      </c>
      <c r="BD67" s="14">
        <v>68751747.58</v>
      </c>
      <c r="BE67" s="14">
        <v>78498798.04</v>
      </c>
      <c r="BF67" s="14">
        <v>65099796.64</v>
      </c>
      <c r="BG67" s="15">
        <v>0.988204537462418</v>
      </c>
      <c r="BH67" s="15">
        <v>0.83361889991969</v>
      </c>
      <c r="BI67" s="15">
        <v>0.110617823632224</v>
      </c>
      <c r="BJ67" s="11"/>
      <c r="BK67" s="11"/>
      <c r="BL67" s="11"/>
      <c r="BM67" s="11"/>
      <c r="BN67" s="11"/>
    </row>
    <row r="68" s="1" customFormat="1" spans="1:66">
      <c r="A68" s="9" t="s">
        <v>81</v>
      </c>
      <c r="B68" s="9">
        <v>340807454.02</v>
      </c>
      <c r="C68" s="9">
        <v>28023077.59</v>
      </c>
      <c r="D68" s="9">
        <v>30447126.54</v>
      </c>
      <c r="E68" s="9">
        <v>30408722.39</v>
      </c>
      <c r="F68" s="9">
        <v>26563974.49</v>
      </c>
      <c r="G68" s="10">
        <v>0.487383210194044</v>
      </c>
      <c r="H68" s="10">
        <v>0.442005400448373</v>
      </c>
      <c r="I68" s="10">
        <v>0.0468841030112533</v>
      </c>
      <c r="J68" s="10"/>
      <c r="K68" s="11"/>
      <c r="L68" s="11"/>
      <c r="M68" s="11"/>
      <c r="N68" s="11"/>
      <c r="O68" s="9">
        <v>334603133.95</v>
      </c>
      <c r="P68" s="9">
        <v>28453953.86</v>
      </c>
      <c r="Q68" s="9">
        <v>25916784.91</v>
      </c>
      <c r="R68" s="9">
        <v>31375135.6</v>
      </c>
      <c r="S68" s="9">
        <v>27735958.75</v>
      </c>
      <c r="T68" s="10">
        <v>0.487383210194044</v>
      </c>
      <c r="U68" s="10">
        <v>0.442005400448373</v>
      </c>
      <c r="V68" s="10">
        <v>0.0468841030112533</v>
      </c>
      <c r="W68" s="10"/>
      <c r="X68" s="11"/>
      <c r="Y68" s="11"/>
      <c r="Z68" s="11"/>
      <c r="AA68" s="11"/>
      <c r="AB68" s="9">
        <v>338638890.53</v>
      </c>
      <c r="AC68" s="9">
        <v>29157977.75</v>
      </c>
      <c r="AD68" s="9">
        <v>31210308.4</v>
      </c>
      <c r="AE68" s="9">
        <v>31769702.1</v>
      </c>
      <c r="AF68" s="9">
        <v>28413504.4</v>
      </c>
      <c r="AG68" s="10">
        <v>0.48723379658934</v>
      </c>
      <c r="AH68" s="10">
        <v>0.447179270214183</v>
      </c>
      <c r="AI68" s="10">
        <v>0.0469079349543662</v>
      </c>
      <c r="AJ68" s="10"/>
      <c r="AK68" s="11"/>
      <c r="AL68" s="11"/>
      <c r="AM68" s="11"/>
      <c r="AN68" s="11"/>
      <c r="AO68" s="9">
        <v>335456375.26</v>
      </c>
      <c r="AP68" s="9">
        <v>29076538.73</v>
      </c>
      <c r="AQ68" s="9">
        <v>27747839</v>
      </c>
      <c r="AR68" s="9">
        <v>31393931.24</v>
      </c>
      <c r="AS68" s="9">
        <v>25771196.33</v>
      </c>
      <c r="AT68" s="10">
        <v>0.443161350278091</v>
      </c>
      <c r="AU68" s="10">
        <v>0.410448696803606</v>
      </c>
      <c r="AV68" s="10">
        <v>0.0467928672031761</v>
      </c>
      <c r="AW68" s="10"/>
      <c r="AX68" s="11"/>
      <c r="AY68" s="11"/>
      <c r="AZ68" s="11"/>
      <c r="BA68" s="11"/>
      <c r="BB68" s="9">
        <f t="shared" ref="BB68:BF68" si="90">SUM(B68,O68,)</f>
        <v>675410587.97</v>
      </c>
      <c r="BC68" s="9">
        <f t="shared" si="90"/>
        <v>56477031.45</v>
      </c>
      <c r="BD68" s="9">
        <f t="shared" si="90"/>
        <v>56363911.45</v>
      </c>
      <c r="BE68" s="9">
        <f t="shared" si="90"/>
        <v>61783857.99</v>
      </c>
      <c r="BF68" s="9">
        <f t="shared" si="90"/>
        <v>54299933.24</v>
      </c>
      <c r="BG68" s="10">
        <f t="shared" ref="BG68:BI68" si="91">AVERAGE(G68,T68,AT68,AG68)</f>
        <v>0.476290391813879</v>
      </c>
      <c r="BH68" s="10">
        <f t="shared" si="91"/>
        <v>0.435409691978634</v>
      </c>
      <c r="BI68" s="10">
        <f t="shared" si="91"/>
        <v>0.0468672520450122</v>
      </c>
      <c r="BJ68" s="11"/>
      <c r="BK68" s="11"/>
      <c r="BL68" s="11"/>
      <c r="BM68" s="11"/>
      <c r="BN68" s="11"/>
    </row>
    <row r="69" s="1" customFormat="1" spans="1:66">
      <c r="A69" s="9" t="s">
        <v>80</v>
      </c>
      <c r="B69" s="9">
        <v>419699169.74</v>
      </c>
      <c r="C69" s="9">
        <v>35770823.87</v>
      </c>
      <c r="D69" s="9">
        <v>38361903.73</v>
      </c>
      <c r="E69" s="9">
        <v>38847219.79</v>
      </c>
      <c r="F69" s="9">
        <v>34529128.62</v>
      </c>
      <c r="G69" s="10">
        <v>0.490543509209953</v>
      </c>
      <c r="H69" s="10">
        <v>0.445019405329314</v>
      </c>
      <c r="I69" s="10">
        <v>0.0484364421383488</v>
      </c>
      <c r="J69" s="10"/>
      <c r="K69" s="11"/>
      <c r="L69" s="11"/>
      <c r="M69" s="11"/>
      <c r="N69" s="11"/>
      <c r="O69" s="9">
        <v>413158394.93</v>
      </c>
      <c r="P69" s="9">
        <v>36309496.58</v>
      </c>
      <c r="Q69" s="9">
        <v>33622622.59</v>
      </c>
      <c r="R69" s="9">
        <v>40023845.38</v>
      </c>
      <c r="S69" s="9">
        <v>35622775.74</v>
      </c>
      <c r="T69" s="10">
        <v>0.490543509209953</v>
      </c>
      <c r="U69" s="10">
        <v>0.445019405329314</v>
      </c>
      <c r="V69" s="10">
        <v>0.0484364421383488</v>
      </c>
      <c r="W69" s="10"/>
      <c r="X69" s="11"/>
      <c r="Y69" s="11"/>
      <c r="Z69" s="11"/>
      <c r="AA69" s="11"/>
      <c r="AB69" s="9">
        <v>390926308.21</v>
      </c>
      <c r="AC69" s="9">
        <v>36500075.24</v>
      </c>
      <c r="AD69" s="9">
        <v>42014002.84</v>
      </c>
      <c r="AE69" s="9">
        <v>39891462.97</v>
      </c>
      <c r="AF69" s="9">
        <v>35745237.11</v>
      </c>
      <c r="AG69" s="10">
        <v>0.489659772958868</v>
      </c>
      <c r="AH69" s="10">
        <v>0.448031163169948</v>
      </c>
      <c r="AI69" s="10">
        <v>0.051021717050277</v>
      </c>
      <c r="AJ69" s="10"/>
      <c r="AK69" s="11"/>
      <c r="AL69" s="11"/>
      <c r="AM69" s="11"/>
      <c r="AN69" s="11"/>
      <c r="AO69" s="9">
        <v>394544449.48</v>
      </c>
      <c r="AP69" s="9">
        <v>36885326.79</v>
      </c>
      <c r="AQ69" s="9">
        <v>38821947.93</v>
      </c>
      <c r="AR69" s="9">
        <v>39577216.72</v>
      </c>
      <c r="AS69" s="9">
        <v>34025564.9</v>
      </c>
      <c r="AT69" s="10">
        <v>0.461234423836319</v>
      </c>
      <c r="AU69" s="10">
        <v>0.429863033834886</v>
      </c>
      <c r="AV69" s="10">
        <v>0.0501555867433464</v>
      </c>
      <c r="AW69" s="10"/>
      <c r="AX69" s="11"/>
      <c r="AY69" s="11"/>
      <c r="AZ69" s="11"/>
      <c r="BA69" s="11"/>
      <c r="BB69" s="9">
        <f t="shared" ref="BB69:BF69" si="92">SUM(B69,O69,)</f>
        <v>832857564.67</v>
      </c>
      <c r="BC69" s="9">
        <f t="shared" si="92"/>
        <v>72080320.45</v>
      </c>
      <c r="BD69" s="9">
        <f t="shared" si="92"/>
        <v>71984526.32</v>
      </c>
      <c r="BE69" s="9">
        <f t="shared" si="92"/>
        <v>78871065.17</v>
      </c>
      <c r="BF69" s="9">
        <f t="shared" si="92"/>
        <v>70151904.36</v>
      </c>
      <c r="BG69" s="10">
        <f t="shared" ref="BG69:BI69" si="93">AVERAGE(G69,T69,AT69,AG69)</f>
        <v>0.482995303803774</v>
      </c>
      <c r="BH69" s="10">
        <f t="shared" si="93"/>
        <v>0.441983251915865</v>
      </c>
      <c r="BI69" s="10">
        <f t="shared" si="93"/>
        <v>0.0495125470175802</v>
      </c>
      <c r="BJ69" s="11"/>
      <c r="BK69" s="11"/>
      <c r="BL69" s="11"/>
      <c r="BM69" s="11"/>
      <c r="BN69" s="11"/>
    </row>
    <row r="70" s="1" customFormat="1" spans="1:66">
      <c r="A70" s="9" t="s">
        <v>82</v>
      </c>
      <c r="B70" s="9">
        <v>404880144.62</v>
      </c>
      <c r="C70" s="9">
        <v>26270541.12</v>
      </c>
      <c r="D70" s="9">
        <v>34112734.37</v>
      </c>
      <c r="E70" s="9">
        <v>36699258.28</v>
      </c>
      <c r="F70" s="9">
        <v>24216422.64</v>
      </c>
      <c r="G70" s="10">
        <v>0.470208987271465</v>
      </c>
      <c r="H70" s="10">
        <v>0.33285933460964</v>
      </c>
      <c r="I70" s="10">
        <v>0.0464823152883897</v>
      </c>
      <c r="J70" s="10"/>
      <c r="K70" s="11"/>
      <c r="L70" s="11"/>
      <c r="M70" s="11"/>
      <c r="N70" s="11"/>
      <c r="O70" s="9">
        <v>402483865.83</v>
      </c>
      <c r="P70" s="9">
        <v>26487199.25</v>
      </c>
      <c r="Q70" s="9">
        <v>23181898.41</v>
      </c>
      <c r="R70" s="9">
        <v>37416763.9</v>
      </c>
      <c r="S70" s="9">
        <v>24909038.27</v>
      </c>
      <c r="T70" s="10">
        <v>0.470208987271465</v>
      </c>
      <c r="U70" s="10">
        <v>0.33285933460964</v>
      </c>
      <c r="V70" s="10">
        <v>0.0464823152883897</v>
      </c>
      <c r="W70" s="10"/>
      <c r="X70" s="11"/>
      <c r="Y70" s="11"/>
      <c r="Z70" s="11"/>
      <c r="AA70" s="11"/>
      <c r="AB70" s="9">
        <v>401532224.33</v>
      </c>
      <c r="AC70" s="9">
        <v>26707801.54</v>
      </c>
      <c r="AD70" s="9">
        <v>31609384.55</v>
      </c>
      <c r="AE70" s="9">
        <v>37034433.25</v>
      </c>
      <c r="AF70" s="9">
        <v>24839707.92</v>
      </c>
      <c r="AG70" s="10">
        <v>0.46502719220071</v>
      </c>
      <c r="AH70" s="10">
        <v>0.335359633456791</v>
      </c>
      <c r="AI70" s="10">
        <v>0.0461163899258596</v>
      </c>
      <c r="AJ70" s="10"/>
      <c r="AK70" s="11"/>
      <c r="AL70" s="11"/>
      <c r="AM70" s="11"/>
      <c r="AN70" s="11"/>
      <c r="AO70" s="9">
        <v>404207632.44</v>
      </c>
      <c r="AP70" s="9">
        <v>27017489.88</v>
      </c>
      <c r="AQ70" s="9">
        <v>25856280.27</v>
      </c>
      <c r="AR70" s="9">
        <v>37759576.4</v>
      </c>
      <c r="AS70" s="9">
        <v>24315589.6</v>
      </c>
      <c r="AT70" s="10">
        <v>0.449997200109991</v>
      </c>
      <c r="AU70" s="10">
        <v>0.321979109913956</v>
      </c>
      <c r="AV70" s="10">
        <v>0.0467081437478855</v>
      </c>
      <c r="AW70" s="10"/>
      <c r="AX70" s="11"/>
      <c r="AY70" s="11"/>
      <c r="AZ70" s="11"/>
      <c r="BA70" s="11"/>
      <c r="BB70" s="9">
        <f t="shared" ref="BB70:BF70" si="94">SUM(B70,O70,)</f>
        <v>807364010.45</v>
      </c>
      <c r="BC70" s="9">
        <f t="shared" si="94"/>
        <v>52757740.37</v>
      </c>
      <c r="BD70" s="9">
        <f t="shared" si="94"/>
        <v>57294632.78</v>
      </c>
      <c r="BE70" s="9">
        <f t="shared" si="94"/>
        <v>74116022.18</v>
      </c>
      <c r="BF70" s="9">
        <f t="shared" si="94"/>
        <v>49125460.91</v>
      </c>
      <c r="BG70" s="10">
        <f t="shared" ref="BG70:BI70" si="95">AVERAGE(G70,T70,AT70,AG70)</f>
        <v>0.463860591713408</v>
      </c>
      <c r="BH70" s="10">
        <f t="shared" si="95"/>
        <v>0.330764353147507</v>
      </c>
      <c r="BI70" s="10">
        <f t="shared" si="95"/>
        <v>0.0464472910626311</v>
      </c>
      <c r="BJ70" s="11"/>
      <c r="BK70" s="11"/>
      <c r="BL70" s="11"/>
      <c r="BM70" s="11"/>
      <c r="BN70" s="11"/>
    </row>
    <row r="71" s="1" customFormat="1" spans="1:66">
      <c r="A71" s="9" t="s">
        <v>79</v>
      </c>
      <c r="B71" s="9">
        <v>274996422.93</v>
      </c>
      <c r="C71" s="9">
        <v>21260998.52</v>
      </c>
      <c r="D71" s="9">
        <v>21405175.97</v>
      </c>
      <c r="E71" s="9">
        <v>28381830.42</v>
      </c>
      <c r="F71" s="9">
        <v>19242939.09</v>
      </c>
      <c r="G71" s="10">
        <v>0.4703897020003</v>
      </c>
      <c r="H71" s="10">
        <v>0.346601646658783</v>
      </c>
      <c r="I71" s="10">
        <v>0.0531847508166747</v>
      </c>
      <c r="J71" s="10"/>
      <c r="K71" s="11"/>
      <c r="L71" s="11"/>
      <c r="M71" s="11"/>
      <c r="N71" s="11"/>
      <c r="O71" s="9">
        <v>276487537.86</v>
      </c>
      <c r="P71" s="9">
        <v>21670328.85</v>
      </c>
      <c r="Q71" s="9">
        <v>18534007.47</v>
      </c>
      <c r="R71" s="9">
        <v>29409841.61</v>
      </c>
      <c r="S71" s="9">
        <v>20386999.06</v>
      </c>
      <c r="T71" s="10">
        <v>0.4703897020003</v>
      </c>
      <c r="U71" s="10">
        <v>0.346601646658783</v>
      </c>
      <c r="V71" s="10">
        <v>0.0531847508166747</v>
      </c>
      <c r="W71" s="10"/>
      <c r="X71" s="11"/>
      <c r="Y71" s="11"/>
      <c r="Z71" s="11"/>
      <c r="AA71" s="11"/>
      <c r="AB71" s="9">
        <v>273237487.31</v>
      </c>
      <c r="AC71" s="9">
        <v>21870447.41</v>
      </c>
      <c r="AD71" s="9">
        <v>26195340.89</v>
      </c>
      <c r="AE71" s="9">
        <v>29700008.81</v>
      </c>
      <c r="AF71" s="9">
        <v>21021851.22</v>
      </c>
      <c r="AG71" s="10">
        <v>0.480599478051556</v>
      </c>
      <c r="AH71" s="10">
        <v>0.353903114212578</v>
      </c>
      <c r="AI71" s="10">
        <v>0.0543483419906874</v>
      </c>
      <c r="AJ71" s="10"/>
      <c r="AK71" s="11"/>
      <c r="AL71" s="11"/>
      <c r="AM71" s="11"/>
      <c r="AN71" s="11"/>
      <c r="AO71" s="9">
        <v>271039252.71</v>
      </c>
      <c r="AP71" s="9">
        <v>21823852.92</v>
      </c>
      <c r="AQ71" s="9">
        <v>22649776.36</v>
      </c>
      <c r="AR71" s="9">
        <v>29369416.36</v>
      </c>
      <c r="AS71" s="9">
        <v>20159738.14</v>
      </c>
      <c r="AT71" s="10">
        <v>0.461873946225257</v>
      </c>
      <c r="AU71" s="10">
        <v>0.343209716749032</v>
      </c>
      <c r="AV71" s="10">
        <v>0.0541792675163253</v>
      </c>
      <c r="AW71" s="10"/>
      <c r="AX71" s="11"/>
      <c r="AY71" s="11"/>
      <c r="AZ71" s="11"/>
      <c r="BA71" s="11"/>
      <c r="BB71" s="9">
        <f t="shared" ref="BB71:BF71" si="96">SUM(B71,O71,)</f>
        <v>551483960.79</v>
      </c>
      <c r="BC71" s="9">
        <f t="shared" si="96"/>
        <v>42931327.37</v>
      </c>
      <c r="BD71" s="9">
        <f t="shared" si="96"/>
        <v>39939183.44</v>
      </c>
      <c r="BE71" s="9">
        <f t="shared" si="96"/>
        <v>57791672.03</v>
      </c>
      <c r="BF71" s="9">
        <f t="shared" si="96"/>
        <v>39629938.15</v>
      </c>
      <c r="BG71" s="10">
        <f t="shared" ref="BG71:BI71" si="97">AVERAGE(G71,T71,AT71,AG71)</f>
        <v>0.470813207069353</v>
      </c>
      <c r="BH71" s="10">
        <f t="shared" si="97"/>
        <v>0.347579031069794</v>
      </c>
      <c r="BI71" s="10">
        <f t="shared" si="97"/>
        <v>0.0537242777850905</v>
      </c>
      <c r="BJ71" s="11"/>
      <c r="BK71" s="11"/>
      <c r="BL71" s="11"/>
      <c r="BM71" s="11"/>
      <c r="BN71" s="11"/>
    </row>
    <row r="72" s="1" customFormat="1" spans="1:66">
      <c r="A72" s="12" t="s">
        <v>83</v>
      </c>
      <c r="B72" s="12">
        <v>1440383191.31</v>
      </c>
      <c r="C72" s="12">
        <v>111325441.1</v>
      </c>
      <c r="D72" s="12">
        <v>124326940.61</v>
      </c>
      <c r="E72" s="12">
        <v>134337030.88</v>
      </c>
      <c r="F72" s="12">
        <v>104552464.84</v>
      </c>
      <c r="G72" s="13">
        <v>0.481109769082949</v>
      </c>
      <c r="H72" s="13">
        <v>0.393034222458737</v>
      </c>
      <c r="I72" s="13">
        <v>0.0484412966626528</v>
      </c>
      <c r="J72" s="13"/>
      <c r="K72" s="11"/>
      <c r="L72" s="11"/>
      <c r="M72" s="11"/>
      <c r="N72" s="11"/>
      <c r="O72" s="12">
        <v>1426732932.57</v>
      </c>
      <c r="P72" s="12">
        <v>112920978.54</v>
      </c>
      <c r="Q72" s="12">
        <v>101255313.38</v>
      </c>
      <c r="R72" s="12">
        <v>138225586.49</v>
      </c>
      <c r="S72" s="12">
        <v>108654771.82</v>
      </c>
      <c r="T72" s="13">
        <v>0.481109769082949</v>
      </c>
      <c r="U72" s="13">
        <v>0.393034222458737</v>
      </c>
      <c r="V72" s="13">
        <v>0.0484412966626528</v>
      </c>
      <c r="W72" s="13"/>
      <c r="X72" s="11"/>
      <c r="Y72" s="11"/>
      <c r="Z72" s="11"/>
      <c r="AA72" s="11"/>
      <c r="AB72" s="12">
        <v>1404334910.38</v>
      </c>
      <c r="AC72" s="12">
        <v>114236301.94</v>
      </c>
      <c r="AD72" s="12">
        <v>131029036.68</v>
      </c>
      <c r="AE72" s="12">
        <v>138395607.13</v>
      </c>
      <c r="AF72" s="12">
        <v>110020300.65</v>
      </c>
      <c r="AG72" s="13">
        <v>0.481547016060558</v>
      </c>
      <c r="AH72" s="13">
        <v>0.397484800751854</v>
      </c>
      <c r="AI72" s="13">
        <v>0.0492744309448774</v>
      </c>
      <c r="AJ72" s="13"/>
      <c r="AK72" s="11"/>
      <c r="AL72" s="11"/>
      <c r="AM72" s="11"/>
      <c r="AN72" s="11"/>
      <c r="AO72" s="12">
        <v>1405247709.89</v>
      </c>
      <c r="AP72" s="12">
        <v>114803208.32</v>
      </c>
      <c r="AQ72" s="12">
        <v>115075843.56</v>
      </c>
      <c r="AR72" s="12">
        <v>138100140.72</v>
      </c>
      <c r="AS72" s="12">
        <v>104272088.97</v>
      </c>
      <c r="AT72" s="13">
        <v>0.45413403726207</v>
      </c>
      <c r="AU72" s="13">
        <v>0.377523471107148</v>
      </c>
      <c r="AV72" s="13">
        <v>0.0491372943531821</v>
      </c>
      <c r="AW72" s="13"/>
      <c r="AX72" s="11"/>
      <c r="AY72" s="11"/>
      <c r="AZ72" s="11"/>
      <c r="BA72" s="11"/>
      <c r="BB72" s="12">
        <v>1440383191.31</v>
      </c>
      <c r="BC72" s="12">
        <v>111325441.1</v>
      </c>
      <c r="BD72" s="12">
        <v>124326940.61</v>
      </c>
      <c r="BE72" s="12">
        <v>134337030.88</v>
      </c>
      <c r="BF72" s="12">
        <v>104552464.84</v>
      </c>
      <c r="BG72" s="13">
        <v>0.481109769082949</v>
      </c>
      <c r="BH72" s="13">
        <v>0.393034222458737</v>
      </c>
      <c r="BI72" s="13">
        <v>0.0484412966626528</v>
      </c>
      <c r="BJ72" s="11"/>
      <c r="BK72" s="11"/>
      <c r="BL72" s="11"/>
      <c r="BM72" s="11"/>
      <c r="BN72" s="11"/>
    </row>
    <row r="73" s="1" customFormat="1" spans="1:66">
      <c r="A73" s="9" t="s">
        <v>84</v>
      </c>
      <c r="B73" s="9">
        <v>395445585.34</v>
      </c>
      <c r="C73" s="9">
        <v>30776904.18</v>
      </c>
      <c r="D73" s="9">
        <v>31303520.2</v>
      </c>
      <c r="E73" s="9">
        <v>32283701.82</v>
      </c>
      <c r="F73" s="9">
        <v>29164965.48</v>
      </c>
      <c r="G73" s="10">
        <v>1.20439838384397</v>
      </c>
      <c r="H73" s="10">
        <v>0.952709659568027</v>
      </c>
      <c r="I73" s="10">
        <v>0.10094500153914</v>
      </c>
      <c r="J73" s="10"/>
      <c r="K73" s="11"/>
      <c r="L73" s="11"/>
      <c r="M73" s="11"/>
      <c r="N73" s="11"/>
      <c r="O73" s="9">
        <v>403351197</v>
      </c>
      <c r="P73" s="9">
        <v>31283183.59</v>
      </c>
      <c r="Q73" s="9">
        <v>28573646.05</v>
      </c>
      <c r="R73" s="9">
        <v>34283908.43</v>
      </c>
      <c r="S73" s="9">
        <v>31643232.39</v>
      </c>
      <c r="T73" s="10">
        <v>1.20439838384397</v>
      </c>
      <c r="U73" s="10">
        <v>0.952709659568027</v>
      </c>
      <c r="V73" s="10">
        <v>0.10094500153914</v>
      </c>
      <c r="W73" s="10"/>
      <c r="X73" s="11"/>
      <c r="Y73" s="11"/>
      <c r="Z73" s="11"/>
      <c r="AA73" s="11"/>
      <c r="AB73" s="9">
        <v>406072192.36</v>
      </c>
      <c r="AC73" s="9">
        <v>31885070.12</v>
      </c>
      <c r="AD73" s="9">
        <v>37923886.93</v>
      </c>
      <c r="AE73" s="9">
        <v>34384964.89</v>
      </c>
      <c r="AF73" s="9">
        <v>31071949.04</v>
      </c>
      <c r="AG73" s="10">
        <v>0.987540097869183</v>
      </c>
      <c r="AH73" s="10">
        <v>0.940153987963241</v>
      </c>
      <c r="AI73" s="10">
        <v>0.0893112810172919</v>
      </c>
      <c r="AJ73" s="10"/>
      <c r="AK73" s="11"/>
      <c r="AL73" s="11"/>
      <c r="AM73" s="11"/>
      <c r="AN73" s="11"/>
      <c r="AO73" s="9">
        <v>402756205.93</v>
      </c>
      <c r="AP73" s="9">
        <v>32164472.26</v>
      </c>
      <c r="AQ73" s="9">
        <v>34061900.66</v>
      </c>
      <c r="AR73" s="9">
        <v>35188854.94</v>
      </c>
      <c r="AS73" s="9">
        <v>30894705.73</v>
      </c>
      <c r="AT73" s="10">
        <v>0.980500263961372</v>
      </c>
      <c r="AU73" s="10">
        <v>0.927600016492108</v>
      </c>
      <c r="AV73" s="10">
        <v>0.0947365400425819</v>
      </c>
      <c r="AW73" s="10"/>
      <c r="AX73" s="11"/>
      <c r="AY73" s="11"/>
      <c r="AZ73" s="11"/>
      <c r="BA73" s="11"/>
      <c r="BB73" s="9">
        <f t="shared" ref="BB73:BF73" si="98">SUM(B73,O73,)</f>
        <v>798796782.34</v>
      </c>
      <c r="BC73" s="9">
        <f t="shared" si="98"/>
        <v>62060087.77</v>
      </c>
      <c r="BD73" s="9">
        <f t="shared" si="98"/>
        <v>59877166.25</v>
      </c>
      <c r="BE73" s="9">
        <f t="shared" si="98"/>
        <v>66567610.25</v>
      </c>
      <c r="BF73" s="9">
        <f t="shared" si="98"/>
        <v>60808197.87</v>
      </c>
      <c r="BG73" s="10">
        <f t="shared" ref="BG73:BI73" si="99">AVERAGE(G73,T73,AT73,AG73)</f>
        <v>1.09420928237963</v>
      </c>
      <c r="BH73" s="10">
        <f t="shared" si="99"/>
        <v>0.943293330897851</v>
      </c>
      <c r="BI73" s="10">
        <f t="shared" si="99"/>
        <v>0.0964844560345387</v>
      </c>
      <c r="BJ73" s="11"/>
      <c r="BK73" s="11"/>
      <c r="BL73" s="11"/>
      <c r="BM73" s="11"/>
      <c r="BN73" s="11"/>
    </row>
    <row r="74" s="1" customFormat="1" spans="1:66">
      <c r="A74" s="9" t="s">
        <v>85</v>
      </c>
      <c r="B74" s="9">
        <v>636684228.12</v>
      </c>
      <c r="C74" s="9">
        <v>49516439.18</v>
      </c>
      <c r="D74" s="9">
        <v>58838496.12</v>
      </c>
      <c r="E74" s="9">
        <v>55423604.2</v>
      </c>
      <c r="F74" s="9">
        <v>47631362.03</v>
      </c>
      <c r="G74" s="10">
        <v>0.987532557165556</v>
      </c>
      <c r="H74" s="10">
        <v>0.901181861915282</v>
      </c>
      <c r="I74" s="10">
        <v>0.112365069168654</v>
      </c>
      <c r="J74" s="10"/>
      <c r="K74" s="11"/>
      <c r="L74" s="11"/>
      <c r="M74" s="11"/>
      <c r="N74" s="11"/>
      <c r="O74" s="9">
        <v>639116963.12</v>
      </c>
      <c r="P74" s="9">
        <v>50604228.67</v>
      </c>
      <c r="Q74" s="9">
        <v>45690730.84</v>
      </c>
      <c r="R74" s="9">
        <v>57505297.29</v>
      </c>
      <c r="S74" s="9">
        <v>49536463.04</v>
      </c>
      <c r="T74" s="10">
        <v>0.987532557165556</v>
      </c>
      <c r="U74" s="10">
        <v>0.901181861915282</v>
      </c>
      <c r="V74" s="10">
        <v>0.112365069168654</v>
      </c>
      <c r="W74" s="10"/>
      <c r="X74" s="11"/>
      <c r="Y74" s="11"/>
      <c r="Z74" s="11"/>
      <c r="AA74" s="11"/>
      <c r="AB74" s="9">
        <v>633237413.470001</v>
      </c>
      <c r="AC74" s="9">
        <v>51292556.9</v>
      </c>
      <c r="AD74" s="9">
        <v>63624531.28</v>
      </c>
      <c r="AE74" s="9">
        <v>56684395.58</v>
      </c>
      <c r="AF74" s="9">
        <v>50091881.14</v>
      </c>
      <c r="AG74" s="10">
        <v>0.988056912807776</v>
      </c>
      <c r="AH74" s="10">
        <v>0.913004937699994</v>
      </c>
      <c r="AI74" s="10">
        <v>0.121202683130757</v>
      </c>
      <c r="AJ74" s="10"/>
      <c r="AK74" s="11"/>
      <c r="AL74" s="11"/>
      <c r="AM74" s="11"/>
      <c r="AN74" s="11"/>
      <c r="AO74" s="9">
        <v>654733339.52</v>
      </c>
      <c r="AP74" s="9">
        <v>51431803.17</v>
      </c>
      <c r="AQ74" s="9">
        <v>60915005.11</v>
      </c>
      <c r="AR74" s="9">
        <v>56980216.56</v>
      </c>
      <c r="AS74" s="9">
        <v>48802947.58</v>
      </c>
      <c r="AT74" s="10">
        <v>1.00052920937284</v>
      </c>
      <c r="AU74" s="10">
        <v>0.925442937300321</v>
      </c>
      <c r="AV74" s="10">
        <v>0.101576335389726</v>
      </c>
      <c r="AW74" s="10"/>
      <c r="AX74" s="11"/>
      <c r="AY74" s="11"/>
      <c r="AZ74" s="11"/>
      <c r="BA74" s="11"/>
      <c r="BB74" s="9">
        <f t="shared" ref="BB74:BF74" si="100">SUM(B74,O74,)</f>
        <v>1275801191.24</v>
      </c>
      <c r="BC74" s="9">
        <f t="shared" si="100"/>
        <v>100120667.85</v>
      </c>
      <c r="BD74" s="9">
        <f t="shared" si="100"/>
        <v>104529226.96</v>
      </c>
      <c r="BE74" s="9">
        <f t="shared" si="100"/>
        <v>112928901.49</v>
      </c>
      <c r="BF74" s="9">
        <f t="shared" si="100"/>
        <v>97167825.07</v>
      </c>
      <c r="BG74" s="10">
        <f t="shared" ref="BG74:BI74" si="101">AVERAGE(G74,T74,AT74,AG74)</f>
        <v>0.990912809127932</v>
      </c>
      <c r="BH74" s="10">
        <f t="shared" si="101"/>
        <v>0.91020289970772</v>
      </c>
      <c r="BI74" s="10">
        <f t="shared" si="101"/>
        <v>0.111877289214448</v>
      </c>
      <c r="BJ74" s="11"/>
      <c r="BK74" s="11"/>
      <c r="BL74" s="11"/>
      <c r="BM74" s="11"/>
      <c r="BN74" s="11"/>
    </row>
    <row r="75" s="1" customFormat="1" spans="1:66">
      <c r="A75" s="12" t="s">
        <v>86</v>
      </c>
      <c r="B75" s="12">
        <v>1032129813.46</v>
      </c>
      <c r="C75" s="12">
        <v>80293343.36</v>
      </c>
      <c r="D75" s="12">
        <v>90142016.32</v>
      </c>
      <c r="E75" s="12">
        <v>87707306.02</v>
      </c>
      <c r="F75" s="12">
        <v>76796327.51</v>
      </c>
      <c r="G75" s="13">
        <v>1.01561400694686</v>
      </c>
      <c r="H75" s="13">
        <v>0.916124514292945</v>
      </c>
      <c r="I75" s="13">
        <v>0.110046277068605</v>
      </c>
      <c r="J75" s="13"/>
      <c r="K75" s="11"/>
      <c r="L75" s="11"/>
      <c r="M75" s="11"/>
      <c r="N75" s="11"/>
      <c r="O75" s="12">
        <v>1042468160.12</v>
      </c>
      <c r="P75" s="12">
        <v>81887412.2599999</v>
      </c>
      <c r="Q75" s="12">
        <v>74264376.89</v>
      </c>
      <c r="R75" s="12">
        <v>91789205.72</v>
      </c>
      <c r="S75" s="12">
        <v>81179695.43</v>
      </c>
      <c r="T75" s="13">
        <v>1.01561400694686</v>
      </c>
      <c r="U75" s="13">
        <v>0.916124514292945</v>
      </c>
      <c r="V75" s="13">
        <v>0.110046277068605</v>
      </c>
      <c r="W75" s="13"/>
      <c r="X75" s="11"/>
      <c r="Y75" s="11"/>
      <c r="Z75" s="11"/>
      <c r="AA75" s="11"/>
      <c r="AB75" s="12">
        <v>1039309605.83</v>
      </c>
      <c r="AC75" s="12">
        <v>83177627.02</v>
      </c>
      <c r="AD75" s="12">
        <v>101548418.21</v>
      </c>
      <c r="AE75" s="12">
        <v>91069360.47</v>
      </c>
      <c r="AF75" s="12">
        <v>81163830.18</v>
      </c>
      <c r="AG75" s="13">
        <v>0.987810882118605</v>
      </c>
      <c r="AH75" s="13">
        <v>0.918921553328438</v>
      </c>
      <c r="AI75" s="13">
        <v>0.115572255670657</v>
      </c>
      <c r="AJ75" s="13"/>
      <c r="AK75" s="11"/>
      <c r="AL75" s="11"/>
      <c r="AM75" s="11"/>
      <c r="AN75" s="11"/>
      <c r="AO75" s="12">
        <v>1057489545.45</v>
      </c>
      <c r="AP75" s="12">
        <v>83596275.43</v>
      </c>
      <c r="AQ75" s="12">
        <v>94976905.77</v>
      </c>
      <c r="AR75" s="12">
        <v>92169071.5</v>
      </c>
      <c r="AS75" s="12">
        <v>79697653.31</v>
      </c>
      <c r="AT75" s="13">
        <v>1.00064848887326</v>
      </c>
      <c r="AU75" s="13">
        <v>0.929433828224561</v>
      </c>
      <c r="AV75" s="13">
        <v>0.100927996221658</v>
      </c>
      <c r="AW75" s="13"/>
      <c r="AX75" s="11"/>
      <c r="AY75" s="11"/>
      <c r="AZ75" s="11"/>
      <c r="BA75" s="11"/>
      <c r="BB75" s="12">
        <v>1032129813.46</v>
      </c>
      <c r="BC75" s="12">
        <v>80293343.36</v>
      </c>
      <c r="BD75" s="12">
        <v>90142016.32</v>
      </c>
      <c r="BE75" s="12">
        <v>87707306.02</v>
      </c>
      <c r="BF75" s="12">
        <v>76796327.51</v>
      </c>
      <c r="BG75" s="13">
        <v>1.01561400694686</v>
      </c>
      <c r="BH75" s="13">
        <v>0.916124514292945</v>
      </c>
      <c r="BI75" s="13">
        <v>0.110046277068605</v>
      </c>
      <c r="BJ75" s="11"/>
      <c r="BK75" s="11"/>
      <c r="BL75" s="11"/>
      <c r="BM75" s="11"/>
      <c r="BN75" s="11"/>
    </row>
    <row r="76" s="1" customFormat="1" spans="1:66">
      <c r="A76" s="14" t="s">
        <v>87</v>
      </c>
      <c r="B76" s="14">
        <v>2472513004.77</v>
      </c>
      <c r="C76" s="14">
        <v>191618784.46</v>
      </c>
      <c r="D76" s="14">
        <v>214468956.93</v>
      </c>
      <c r="E76" s="14">
        <v>222044336.9</v>
      </c>
      <c r="F76" s="14">
        <v>181348792.35</v>
      </c>
      <c r="G76" s="15">
        <v>1.00747591063382</v>
      </c>
      <c r="H76" s="15">
        <v>0.886795038048733</v>
      </c>
      <c r="I76" s="15">
        <v>0.112847733032312</v>
      </c>
      <c r="J76" s="15"/>
      <c r="K76" s="11"/>
      <c r="L76" s="11"/>
      <c r="M76" s="11"/>
      <c r="N76" s="11"/>
      <c r="O76" s="14">
        <v>2469201092.69</v>
      </c>
      <c r="P76" s="14">
        <v>194808390.8</v>
      </c>
      <c r="Q76" s="14">
        <v>175519690.27</v>
      </c>
      <c r="R76" s="14">
        <v>230014792.21</v>
      </c>
      <c r="S76" s="14">
        <v>189834467.25</v>
      </c>
      <c r="T76" s="15">
        <v>1.00747591063382</v>
      </c>
      <c r="U76" s="15">
        <v>0.886795038048733</v>
      </c>
      <c r="V76" s="15">
        <v>0.112847733032312</v>
      </c>
      <c r="W76" s="15"/>
      <c r="X76" s="11"/>
      <c r="Y76" s="11"/>
      <c r="Z76" s="11"/>
      <c r="AA76" s="11"/>
      <c r="AB76" s="14">
        <v>2443644516.21</v>
      </c>
      <c r="AC76" s="14">
        <v>197413928.96</v>
      </c>
      <c r="AD76" s="14">
        <v>232577454.89</v>
      </c>
      <c r="AE76" s="14">
        <v>229464967.6</v>
      </c>
      <c r="AF76" s="14">
        <v>191184130.83</v>
      </c>
      <c r="AG76" s="15">
        <v>0.984292590379002</v>
      </c>
      <c r="AH76" s="15">
        <v>0.890049090575802</v>
      </c>
      <c r="AI76" s="15">
        <v>0.11898964453994</v>
      </c>
      <c r="AJ76" s="15"/>
      <c r="AK76" s="11"/>
      <c r="AL76" s="11"/>
      <c r="AM76" s="11"/>
      <c r="AN76" s="11"/>
      <c r="AO76" s="14">
        <v>2462737255.34</v>
      </c>
      <c r="AP76" s="14">
        <v>198399483.75</v>
      </c>
      <c r="AQ76" s="14">
        <v>210052749.33</v>
      </c>
      <c r="AR76" s="14">
        <v>230269212.22</v>
      </c>
      <c r="AS76" s="14">
        <v>183969742.28</v>
      </c>
      <c r="AT76" s="15">
        <v>0.988244414208072</v>
      </c>
      <c r="AU76" s="15">
        <v>0.897283313271451</v>
      </c>
      <c r="AV76" s="15">
        <v>0.104287987716261</v>
      </c>
      <c r="AW76" s="15"/>
      <c r="AX76" s="11"/>
      <c r="AY76" s="11"/>
      <c r="AZ76" s="11"/>
      <c r="BA76" s="11"/>
      <c r="BB76" s="14">
        <v>2472513004.77</v>
      </c>
      <c r="BC76" s="14">
        <v>191618784.46</v>
      </c>
      <c r="BD76" s="14">
        <v>214468956.93</v>
      </c>
      <c r="BE76" s="14">
        <v>222044336.9</v>
      </c>
      <c r="BF76" s="14">
        <v>181348792.35</v>
      </c>
      <c r="BG76" s="15">
        <v>1.00747591063382</v>
      </c>
      <c r="BH76" s="15">
        <v>0.886795038048733</v>
      </c>
      <c r="BI76" s="15">
        <v>0.112847733032312</v>
      </c>
      <c r="BJ76" s="11"/>
      <c r="BK76" s="11"/>
      <c r="BL76" s="11"/>
      <c r="BM76" s="11"/>
      <c r="BN76" s="11"/>
    </row>
    <row r="77" s="1" customFormat="1" spans="1:66">
      <c r="A77" s="16" t="s">
        <v>88</v>
      </c>
      <c r="B77" s="16">
        <v>7050860152.8</v>
      </c>
      <c r="C77" s="16">
        <v>449921014.34</v>
      </c>
      <c r="D77" s="16">
        <v>508303211.63</v>
      </c>
      <c r="E77" s="16">
        <v>529811757.83</v>
      </c>
      <c r="F77" s="16">
        <v>424815616.46</v>
      </c>
      <c r="G77" s="17">
        <v>0.978581975608264</v>
      </c>
      <c r="H77" s="17">
        <v>0.828900298018379</v>
      </c>
      <c r="I77" s="17">
        <v>0.0657257080054367</v>
      </c>
      <c r="J77" s="17"/>
      <c r="K77" s="11"/>
      <c r="L77" s="11"/>
      <c r="M77" s="11"/>
      <c r="N77" s="11"/>
      <c r="O77" s="16">
        <v>7123335623.74</v>
      </c>
      <c r="P77" s="16">
        <v>458286589.62</v>
      </c>
      <c r="Q77" s="16">
        <v>411729165.02</v>
      </c>
      <c r="R77" s="16">
        <v>552729067.52</v>
      </c>
      <c r="S77" s="16">
        <v>448082965.31</v>
      </c>
      <c r="T77" s="17">
        <v>0.978581975608264</v>
      </c>
      <c r="U77" s="17">
        <v>0.828900298018379</v>
      </c>
      <c r="V77" s="17">
        <v>0.0657257080054367</v>
      </c>
      <c r="W77" s="17"/>
      <c r="X77" s="11"/>
      <c r="Y77" s="11"/>
      <c r="Z77" s="11"/>
      <c r="AA77" s="11"/>
      <c r="AB77" s="16">
        <v>7066314974.06</v>
      </c>
      <c r="AC77" s="16">
        <v>462383415.26</v>
      </c>
      <c r="AD77" s="16">
        <v>556267203.76</v>
      </c>
      <c r="AE77" s="16">
        <v>550331367.03</v>
      </c>
      <c r="AF77" s="16">
        <v>448028168.64</v>
      </c>
      <c r="AG77" s="17">
        <v>0.979734730825159</v>
      </c>
      <c r="AH77" s="17">
        <v>0.830376117309146</v>
      </c>
      <c r="AI77" s="17">
        <v>0.0660846468553566</v>
      </c>
      <c r="AJ77" s="17"/>
      <c r="AK77" s="11"/>
      <c r="AL77" s="11"/>
      <c r="AM77" s="11"/>
      <c r="AN77" s="11"/>
      <c r="AO77" s="16">
        <v>7196271310.46</v>
      </c>
      <c r="AP77" s="16">
        <v>470652909.53</v>
      </c>
      <c r="AQ77" s="16">
        <v>521567917.77</v>
      </c>
      <c r="AR77" s="16">
        <v>562903960.49</v>
      </c>
      <c r="AS77" s="16">
        <v>435801326.78</v>
      </c>
      <c r="AT77" s="17">
        <v>0.922133796684631</v>
      </c>
      <c r="AU77" s="17">
        <v>0.787195752686481</v>
      </c>
      <c r="AV77" s="17">
        <v>0.0663129999574075</v>
      </c>
      <c r="AW77" s="17"/>
      <c r="AX77" s="11"/>
      <c r="AY77" s="11"/>
      <c r="AZ77" s="11"/>
      <c r="BA77" s="11"/>
      <c r="BB77" s="16">
        <v>7050860152.8</v>
      </c>
      <c r="BC77" s="16">
        <v>449921014.34</v>
      </c>
      <c r="BD77" s="16">
        <v>508303211.63</v>
      </c>
      <c r="BE77" s="16">
        <v>529811757.83</v>
      </c>
      <c r="BF77" s="16">
        <v>424815616.46</v>
      </c>
      <c r="BG77" s="17">
        <v>0.978581975608264</v>
      </c>
      <c r="BH77" s="17">
        <v>0.828900298018379</v>
      </c>
      <c r="BI77" s="17">
        <v>0.0657257080054367</v>
      </c>
      <c r="BJ77" s="11"/>
      <c r="BK77" s="11"/>
      <c r="BL77" s="11"/>
      <c r="BM77" s="11"/>
      <c r="BN77" s="11"/>
    </row>
    <row r="78" s="1" customFormat="1" spans="1:66">
      <c r="A78" s="9" t="s">
        <v>89</v>
      </c>
      <c r="B78" s="9">
        <v>524151789.23</v>
      </c>
      <c r="C78" s="9">
        <v>39268872.69</v>
      </c>
      <c r="D78" s="9">
        <v>39290040.94</v>
      </c>
      <c r="E78" s="9">
        <v>46641734.86</v>
      </c>
      <c r="F78" s="9">
        <v>37848638.17</v>
      </c>
      <c r="G78" s="10">
        <v>1.0025725001713</v>
      </c>
      <c r="H78" s="10">
        <v>0.828800303965861</v>
      </c>
      <c r="I78" s="10">
        <v>0.10025810502746</v>
      </c>
      <c r="J78" s="10"/>
      <c r="K78" s="11"/>
      <c r="L78" s="11"/>
      <c r="M78" s="11"/>
      <c r="N78" s="11"/>
      <c r="O78" s="9">
        <v>517025839.25</v>
      </c>
      <c r="P78" s="9">
        <v>40095869.43</v>
      </c>
      <c r="Q78" s="9">
        <v>38326820.16</v>
      </c>
      <c r="R78" s="9">
        <v>48086909.96</v>
      </c>
      <c r="S78" s="9">
        <v>40150319.46</v>
      </c>
      <c r="T78" s="10">
        <v>1.0025725001713</v>
      </c>
      <c r="U78" s="10">
        <v>0.828800303965861</v>
      </c>
      <c r="V78" s="10">
        <v>0.10025810502746</v>
      </c>
      <c r="W78" s="10"/>
      <c r="X78" s="11"/>
      <c r="Y78" s="11"/>
      <c r="Z78" s="11"/>
      <c r="AA78" s="11"/>
      <c r="AB78" s="9">
        <v>477839833.02</v>
      </c>
      <c r="AC78" s="9">
        <v>40209989.73</v>
      </c>
      <c r="AD78" s="9">
        <v>51075069.24</v>
      </c>
      <c r="AE78" s="9">
        <v>43892067.14</v>
      </c>
      <c r="AF78" s="9">
        <v>39941938.23</v>
      </c>
      <c r="AG78" s="10">
        <v>0.995560031849469</v>
      </c>
      <c r="AH78" s="10">
        <v>0.868769589151992</v>
      </c>
      <c r="AI78" s="10">
        <v>0.103587878672535</v>
      </c>
      <c r="AJ78" s="10"/>
      <c r="AK78" s="11"/>
      <c r="AL78" s="11"/>
      <c r="AM78" s="11"/>
      <c r="AN78" s="11"/>
      <c r="AO78" s="9">
        <v>478283265.75</v>
      </c>
      <c r="AP78" s="9">
        <v>40812171.13</v>
      </c>
      <c r="AQ78" s="9">
        <v>43022091.15</v>
      </c>
      <c r="AR78" s="9">
        <v>44545578.74</v>
      </c>
      <c r="AS78" s="9">
        <v>38835567.79</v>
      </c>
      <c r="AT78" s="10">
        <v>0.955762765038641</v>
      </c>
      <c r="AU78" s="10">
        <v>0.832313562788952</v>
      </c>
      <c r="AV78" s="10">
        <v>0.109266181095776</v>
      </c>
      <c r="AW78" s="10"/>
      <c r="AX78" s="11"/>
      <c r="AY78" s="11"/>
      <c r="AZ78" s="11"/>
      <c r="BA78" s="11"/>
      <c r="BB78" s="9">
        <f t="shared" ref="BB78:BF78" si="102">SUM(B78,O78,)</f>
        <v>1041177628.48</v>
      </c>
      <c r="BC78" s="9">
        <f t="shared" si="102"/>
        <v>79364742.12</v>
      </c>
      <c r="BD78" s="9">
        <f t="shared" si="102"/>
        <v>77616861.1</v>
      </c>
      <c r="BE78" s="9">
        <f t="shared" si="102"/>
        <v>94728644.82</v>
      </c>
      <c r="BF78" s="9">
        <f t="shared" si="102"/>
        <v>77998957.63</v>
      </c>
      <c r="BG78" s="10">
        <f t="shared" ref="BG78:BI78" si="103">AVERAGE(G78,T78,AT78,AG78)</f>
        <v>0.989116949307675</v>
      </c>
      <c r="BH78" s="10">
        <f t="shared" si="103"/>
        <v>0.839670939968167</v>
      </c>
      <c r="BI78" s="10">
        <f t="shared" si="103"/>
        <v>0.103342567455808</v>
      </c>
      <c r="BJ78" s="11"/>
      <c r="BK78" s="11"/>
      <c r="BL78" s="11"/>
      <c r="BM78" s="11"/>
      <c r="BN78" s="11"/>
    </row>
    <row r="79" s="1" customFormat="1" spans="1:66">
      <c r="A79" s="9" t="s">
        <v>90</v>
      </c>
      <c r="B79" s="9">
        <v>427799703.98</v>
      </c>
      <c r="C79" s="9">
        <v>30312401.44</v>
      </c>
      <c r="D79" s="9">
        <v>26216243.15</v>
      </c>
      <c r="E79" s="9">
        <v>32346843.66</v>
      </c>
      <c r="F79" s="9">
        <v>30036996.25</v>
      </c>
      <c r="G79" s="10">
        <v>0.992146115879206</v>
      </c>
      <c r="H79" s="10">
        <v>0.956498921305507</v>
      </c>
      <c r="I79" s="10">
        <v>0.073112551379215</v>
      </c>
      <c r="J79" s="10"/>
      <c r="K79" s="11"/>
      <c r="L79" s="11"/>
      <c r="M79" s="11"/>
      <c r="N79" s="11"/>
      <c r="O79" s="9">
        <v>444580811.88</v>
      </c>
      <c r="P79" s="9">
        <v>31912150.67</v>
      </c>
      <c r="Q79" s="9">
        <v>29419900.37</v>
      </c>
      <c r="R79" s="9">
        <v>34015981.29</v>
      </c>
      <c r="S79" s="9">
        <v>31497087.87</v>
      </c>
      <c r="T79" s="10">
        <v>0.992146115879206</v>
      </c>
      <c r="U79" s="10">
        <v>0.956498921305507</v>
      </c>
      <c r="V79" s="10">
        <v>0.073112551379215</v>
      </c>
      <c r="W79" s="10"/>
      <c r="X79" s="11"/>
      <c r="Y79" s="11"/>
      <c r="Z79" s="11"/>
      <c r="AA79" s="11"/>
      <c r="AB79" s="9">
        <v>438354586.12</v>
      </c>
      <c r="AC79" s="9">
        <v>32477445.3</v>
      </c>
      <c r="AD79" s="9">
        <v>33721328.17</v>
      </c>
      <c r="AE79" s="9">
        <v>34857618</v>
      </c>
      <c r="AF79" s="9">
        <v>32179709.84</v>
      </c>
      <c r="AG79" s="10">
        <v>0.993691534682447</v>
      </c>
      <c r="AH79" s="10">
        <v>0.95430202389373</v>
      </c>
      <c r="AI79" s="10">
        <v>0.0765124311531121</v>
      </c>
      <c r="AJ79" s="10"/>
      <c r="AK79" s="11"/>
      <c r="AL79" s="11"/>
      <c r="AM79" s="11"/>
      <c r="AN79" s="11"/>
      <c r="AO79" s="9">
        <v>464143120.65</v>
      </c>
      <c r="AP79" s="9">
        <v>34416377.83</v>
      </c>
      <c r="AQ79" s="9">
        <v>37454267.45</v>
      </c>
      <c r="AR79" s="9">
        <v>36945531.16</v>
      </c>
      <c r="AS79" s="9">
        <v>33677473.88</v>
      </c>
      <c r="AT79" s="10">
        <v>0.978928717189505</v>
      </c>
      <c r="AU79" s="10">
        <v>0.940248865489205</v>
      </c>
      <c r="AV79" s="10">
        <v>0.0784269465047015</v>
      </c>
      <c r="AW79" s="10"/>
      <c r="AX79" s="11"/>
      <c r="AY79" s="11"/>
      <c r="AZ79" s="11"/>
      <c r="BA79" s="11"/>
      <c r="BB79" s="9">
        <f t="shared" ref="BB79:BF79" si="104">SUM(B79,O79,)</f>
        <v>872380515.86</v>
      </c>
      <c r="BC79" s="9">
        <f t="shared" si="104"/>
        <v>62224552.11</v>
      </c>
      <c r="BD79" s="9">
        <f t="shared" si="104"/>
        <v>55636143.52</v>
      </c>
      <c r="BE79" s="9">
        <f t="shared" si="104"/>
        <v>66362824.95</v>
      </c>
      <c r="BF79" s="9">
        <f t="shared" si="104"/>
        <v>61534084.12</v>
      </c>
      <c r="BG79" s="10">
        <f t="shared" ref="BG79:BI79" si="105">AVERAGE(G79,T79,AT79,AG79)</f>
        <v>0.989228120907591</v>
      </c>
      <c r="BH79" s="10">
        <f t="shared" si="105"/>
        <v>0.951887182998487</v>
      </c>
      <c r="BI79" s="10">
        <f t="shared" si="105"/>
        <v>0.0752911201040609</v>
      </c>
      <c r="BJ79" s="11"/>
      <c r="BK79" s="11"/>
      <c r="BL79" s="11"/>
      <c r="BM79" s="11"/>
      <c r="BN79" s="11"/>
    </row>
    <row r="80" s="1" customFormat="1" spans="1:66">
      <c r="A80" s="9" t="s">
        <v>91</v>
      </c>
      <c r="B80" s="9">
        <v>817420760.47</v>
      </c>
      <c r="C80" s="9">
        <v>52583574.37</v>
      </c>
      <c r="D80" s="9">
        <v>63146036.56</v>
      </c>
      <c r="E80" s="9">
        <v>62639549.37</v>
      </c>
      <c r="F80" s="9">
        <v>51147268.33</v>
      </c>
      <c r="G80" s="10">
        <v>0.96727744776059</v>
      </c>
      <c r="H80" s="10">
        <v>0.878200904026295</v>
      </c>
      <c r="I80" s="10">
        <v>0.0769227158903521</v>
      </c>
      <c r="J80" s="10"/>
      <c r="K80" s="11"/>
      <c r="L80" s="11"/>
      <c r="M80" s="11"/>
      <c r="N80" s="11"/>
      <c r="O80" s="9">
        <v>787966621.1</v>
      </c>
      <c r="P80" s="9">
        <v>52015410.95</v>
      </c>
      <c r="Q80" s="9">
        <v>69969391.68</v>
      </c>
      <c r="R80" s="9">
        <v>62466207.4</v>
      </c>
      <c r="S80" s="9">
        <v>48716939.13</v>
      </c>
      <c r="T80" s="10">
        <v>0.96727744776059</v>
      </c>
      <c r="U80" s="10">
        <v>0.878200904026295</v>
      </c>
      <c r="V80" s="10">
        <v>0.0769227158903521</v>
      </c>
      <c r="W80" s="10"/>
      <c r="X80" s="11"/>
      <c r="Y80" s="11"/>
      <c r="Z80" s="11"/>
      <c r="AA80" s="11"/>
      <c r="AB80" s="9">
        <v>699286481.36</v>
      </c>
      <c r="AC80" s="9">
        <v>51814112.95</v>
      </c>
      <c r="AD80" s="9">
        <v>71690562.59</v>
      </c>
      <c r="AE80" s="9">
        <v>64457331.44</v>
      </c>
      <c r="AF80" s="9">
        <v>52093911.62</v>
      </c>
      <c r="AG80" s="10">
        <v>0.980665296298714</v>
      </c>
      <c r="AH80" s="10">
        <v>0.884946279519204</v>
      </c>
      <c r="AI80" s="10">
        <v>0.0900734825858103</v>
      </c>
      <c r="AJ80" s="10"/>
      <c r="AK80" s="11"/>
      <c r="AL80" s="11"/>
      <c r="AM80" s="11"/>
      <c r="AN80" s="11"/>
      <c r="AO80" s="9">
        <v>707742894.1</v>
      </c>
      <c r="AP80" s="9">
        <v>52152653.91</v>
      </c>
      <c r="AQ80" s="9">
        <v>63148143.25</v>
      </c>
      <c r="AR80" s="9">
        <v>78213367.66</v>
      </c>
      <c r="AS80" s="9">
        <v>49716815.06</v>
      </c>
      <c r="AT80" s="10">
        <v>0.9428809934884</v>
      </c>
      <c r="AU80" s="10">
        <v>0.771352849545896</v>
      </c>
      <c r="AV80" s="10">
        <v>0.101974858367048</v>
      </c>
      <c r="AW80" s="10"/>
      <c r="AX80" s="11"/>
      <c r="AY80" s="11"/>
      <c r="AZ80" s="11"/>
      <c r="BA80" s="11"/>
      <c r="BB80" s="9">
        <f t="shared" ref="BB80:BF80" si="106">SUM(B80,O80,)</f>
        <v>1605387381.57</v>
      </c>
      <c r="BC80" s="9">
        <f t="shared" si="106"/>
        <v>104598985.32</v>
      </c>
      <c r="BD80" s="9">
        <f t="shared" si="106"/>
        <v>133115428.24</v>
      </c>
      <c r="BE80" s="9">
        <f t="shared" si="106"/>
        <v>125105756.77</v>
      </c>
      <c r="BF80" s="9">
        <f t="shared" si="106"/>
        <v>99864207.46</v>
      </c>
      <c r="BG80" s="10">
        <f t="shared" ref="BG80:BI80" si="107">AVERAGE(G80,T80,AT80,AG80)</f>
        <v>0.964525296327074</v>
      </c>
      <c r="BH80" s="10">
        <f t="shared" si="107"/>
        <v>0.853175234279422</v>
      </c>
      <c r="BI80" s="10">
        <f t="shared" si="107"/>
        <v>0.0864734431833907</v>
      </c>
      <c r="BJ80" s="11"/>
      <c r="BK80" s="11"/>
      <c r="BL80" s="11"/>
      <c r="BM80" s="11"/>
      <c r="BN80" s="11"/>
    </row>
    <row r="81" s="1" customFormat="1" spans="1:66">
      <c r="A81" s="9" t="s">
        <v>92</v>
      </c>
      <c r="B81" s="9">
        <v>887750436.7</v>
      </c>
      <c r="C81" s="9">
        <v>58313155.12</v>
      </c>
      <c r="D81" s="9">
        <v>72099979.38</v>
      </c>
      <c r="E81" s="9">
        <v>62932369.2699999</v>
      </c>
      <c r="F81" s="9">
        <v>57134397.14</v>
      </c>
      <c r="G81" s="10">
        <v>0.978524069602179</v>
      </c>
      <c r="H81" s="10">
        <v>0.94573874348608</v>
      </c>
      <c r="I81" s="10">
        <v>0.0712263576629714</v>
      </c>
      <c r="J81" s="10"/>
      <c r="K81" s="11"/>
      <c r="L81" s="11"/>
      <c r="M81" s="11"/>
      <c r="N81" s="11"/>
      <c r="O81" s="9">
        <v>886610815.91</v>
      </c>
      <c r="P81" s="9">
        <v>59777786.12</v>
      </c>
      <c r="Q81" s="9">
        <v>72816254.4799999</v>
      </c>
      <c r="R81" s="9">
        <v>64527523.7199999</v>
      </c>
      <c r="S81" s="9">
        <v>58243190.19</v>
      </c>
      <c r="T81" s="10">
        <v>0.978524069602179</v>
      </c>
      <c r="U81" s="10">
        <v>0.94573874348608</v>
      </c>
      <c r="V81" s="10">
        <v>0.0712263576629714</v>
      </c>
      <c r="W81" s="10"/>
      <c r="X81" s="11"/>
      <c r="Y81" s="11"/>
      <c r="Z81" s="11"/>
      <c r="AA81" s="11"/>
      <c r="AB81" s="9">
        <v>818716706.83</v>
      </c>
      <c r="AC81" s="9">
        <v>63713541.8199999</v>
      </c>
      <c r="AD81" s="9">
        <v>84938137.69</v>
      </c>
      <c r="AE81" s="9">
        <v>68358062.7599999</v>
      </c>
      <c r="AF81" s="9">
        <v>59405499.7799999</v>
      </c>
      <c r="AG81" s="10">
        <v>0.843131818057029</v>
      </c>
      <c r="AH81" s="10">
        <v>0.83978820849322</v>
      </c>
      <c r="AI81" s="10">
        <v>0.100106972673963</v>
      </c>
      <c r="AJ81" s="10"/>
      <c r="AK81" s="11"/>
      <c r="AL81" s="11"/>
      <c r="AM81" s="11"/>
      <c r="AN81" s="11"/>
      <c r="AO81" s="9">
        <v>818722903.67</v>
      </c>
      <c r="AP81" s="9">
        <v>60037565.1499999</v>
      </c>
      <c r="AQ81" s="9">
        <v>68433151.2399999</v>
      </c>
      <c r="AR81" s="9">
        <v>72937129.3499999</v>
      </c>
      <c r="AS81" s="9">
        <v>58663537.7299999</v>
      </c>
      <c r="AT81" s="10">
        <v>0.962580577003458</v>
      </c>
      <c r="AU81" s="10">
        <v>0.763631019502359</v>
      </c>
      <c r="AV81" s="10">
        <v>0.098399430530057</v>
      </c>
      <c r="AW81" s="10"/>
      <c r="AX81" s="11"/>
      <c r="AY81" s="11"/>
      <c r="AZ81" s="11"/>
      <c r="BA81" s="11"/>
      <c r="BB81" s="9">
        <f t="shared" ref="BB81:BF81" si="108">SUM(B81,O81,)</f>
        <v>1774361252.61</v>
      </c>
      <c r="BC81" s="9">
        <f t="shared" si="108"/>
        <v>118090941.24</v>
      </c>
      <c r="BD81" s="9">
        <f t="shared" si="108"/>
        <v>144916233.86</v>
      </c>
      <c r="BE81" s="9">
        <f t="shared" si="108"/>
        <v>127459892.99</v>
      </c>
      <c r="BF81" s="9">
        <f t="shared" si="108"/>
        <v>115377587.33</v>
      </c>
      <c r="BG81" s="10">
        <f t="shared" ref="BG81:BI81" si="109">AVERAGE(G81,T81,AT81,AG81)</f>
        <v>0.940690133566211</v>
      </c>
      <c r="BH81" s="10">
        <f t="shared" si="109"/>
        <v>0.873724178741935</v>
      </c>
      <c r="BI81" s="10">
        <f t="shared" si="109"/>
        <v>0.0852397796324908</v>
      </c>
      <c r="BJ81" s="11"/>
      <c r="BK81" s="11"/>
      <c r="BL81" s="11"/>
      <c r="BM81" s="11"/>
      <c r="BN81" s="11"/>
    </row>
    <row r="82" s="1" customFormat="1" spans="1:66">
      <c r="A82" s="12" t="s">
        <v>93</v>
      </c>
      <c r="B82" s="12">
        <v>2657122690.38</v>
      </c>
      <c r="C82" s="12">
        <v>180478003.62</v>
      </c>
      <c r="D82" s="12">
        <v>200752300.03</v>
      </c>
      <c r="E82" s="12">
        <v>204560497.16</v>
      </c>
      <c r="F82" s="12">
        <v>176167299.89</v>
      </c>
      <c r="G82" s="13">
        <v>0.982961623742801</v>
      </c>
      <c r="H82" s="13">
        <v>0.901550351637776</v>
      </c>
      <c r="I82" s="13">
        <v>0.0779434234398583</v>
      </c>
      <c r="J82" s="13"/>
      <c r="K82" s="11"/>
      <c r="L82" s="11"/>
      <c r="M82" s="11"/>
      <c r="N82" s="11"/>
      <c r="O82" s="12">
        <v>2636184088.14</v>
      </c>
      <c r="P82" s="12">
        <v>183801217.17</v>
      </c>
      <c r="Q82" s="12">
        <v>210532366.69</v>
      </c>
      <c r="R82" s="12">
        <v>209096622.37</v>
      </c>
      <c r="S82" s="12">
        <v>178607536.65</v>
      </c>
      <c r="T82" s="13">
        <v>0.982961623742801</v>
      </c>
      <c r="U82" s="13">
        <v>0.901550351637776</v>
      </c>
      <c r="V82" s="13">
        <v>0.0779434234398583</v>
      </c>
      <c r="W82" s="13"/>
      <c r="X82" s="11"/>
      <c r="Y82" s="11"/>
      <c r="Z82" s="11"/>
      <c r="AA82" s="11"/>
      <c r="AB82" s="12">
        <v>2434197607.33</v>
      </c>
      <c r="AC82" s="12">
        <v>188215089.8</v>
      </c>
      <c r="AD82" s="12">
        <v>241425097.69</v>
      </c>
      <c r="AE82" s="12">
        <v>211565079.34</v>
      </c>
      <c r="AF82" s="12">
        <v>183621059.47</v>
      </c>
      <c r="AG82" s="13">
        <v>0.927080389522682</v>
      </c>
      <c r="AH82" s="13">
        <v>0.873851332590471</v>
      </c>
      <c r="AI82" s="13">
        <v>0.0921340031275654</v>
      </c>
      <c r="AJ82" s="13"/>
      <c r="AK82" s="11"/>
      <c r="AL82" s="11"/>
      <c r="AM82" s="11"/>
      <c r="AN82" s="11"/>
      <c r="AO82" s="12">
        <v>2468892184.17</v>
      </c>
      <c r="AP82" s="12">
        <v>187418768.02</v>
      </c>
      <c r="AQ82" s="12">
        <v>212057653.09</v>
      </c>
      <c r="AR82" s="12">
        <v>232641606.91</v>
      </c>
      <c r="AS82" s="12">
        <v>180893394.46</v>
      </c>
      <c r="AT82" s="13">
        <v>0.959418341355317</v>
      </c>
      <c r="AU82" s="13">
        <v>0.802766059813524</v>
      </c>
      <c r="AV82" s="13">
        <v>0.0963352300993188</v>
      </c>
      <c r="AW82" s="13"/>
      <c r="AX82" s="11"/>
      <c r="AY82" s="11"/>
      <c r="AZ82" s="11"/>
      <c r="BA82" s="11"/>
      <c r="BB82" s="12">
        <v>2657122690.38</v>
      </c>
      <c r="BC82" s="12">
        <v>180478003.62</v>
      </c>
      <c r="BD82" s="12">
        <v>200752300.03</v>
      </c>
      <c r="BE82" s="12">
        <v>204560497.16</v>
      </c>
      <c r="BF82" s="12">
        <v>176167299.89</v>
      </c>
      <c r="BG82" s="13">
        <v>0.982961623742801</v>
      </c>
      <c r="BH82" s="13">
        <v>0.901550351637776</v>
      </c>
      <c r="BI82" s="13">
        <v>0.0779434234398583</v>
      </c>
      <c r="BJ82" s="11"/>
      <c r="BK82" s="11"/>
      <c r="BL82" s="11"/>
      <c r="BM82" s="11"/>
      <c r="BN82" s="11"/>
    </row>
    <row r="83" s="1" customFormat="1" spans="1:66">
      <c r="A83" s="9" t="s">
        <v>94</v>
      </c>
      <c r="B83" s="9">
        <v>561426398</v>
      </c>
      <c r="C83" s="9">
        <v>31499989.79</v>
      </c>
      <c r="D83" s="9">
        <v>39281888.9</v>
      </c>
      <c r="E83" s="9">
        <v>41794721.46</v>
      </c>
      <c r="F83" s="9">
        <v>30980987.78</v>
      </c>
      <c r="G83" s="10">
        <v>1.0332881933007</v>
      </c>
      <c r="H83" s="10">
        <v>0.789597227790189</v>
      </c>
      <c r="I83" s="10">
        <v>0.0811672466743438</v>
      </c>
      <c r="J83" s="10"/>
      <c r="K83" s="11"/>
      <c r="L83" s="11"/>
      <c r="M83" s="11"/>
      <c r="N83" s="11"/>
      <c r="O83" s="9">
        <v>574296427.34</v>
      </c>
      <c r="P83" s="9">
        <v>32772639.16</v>
      </c>
      <c r="Q83" s="9">
        <v>32517963</v>
      </c>
      <c r="R83" s="9">
        <v>44892924.68</v>
      </c>
      <c r="S83" s="9">
        <v>36443867.9</v>
      </c>
      <c r="T83" s="10">
        <v>1.0332881933007</v>
      </c>
      <c r="U83" s="10">
        <v>0.789597227790189</v>
      </c>
      <c r="V83" s="10">
        <v>0.0811672466743438</v>
      </c>
      <c r="W83" s="10"/>
      <c r="X83" s="11"/>
      <c r="Y83" s="11"/>
      <c r="Z83" s="11"/>
      <c r="AA83" s="11"/>
      <c r="AB83" s="9">
        <v>570486203.51</v>
      </c>
      <c r="AC83" s="9">
        <v>34384194.12</v>
      </c>
      <c r="AD83" s="9">
        <v>47916553.22</v>
      </c>
      <c r="AE83" s="9">
        <v>42539190.81</v>
      </c>
      <c r="AF83" s="9">
        <v>35433575.22</v>
      </c>
      <c r="AG83" s="10">
        <v>0.970241054133195</v>
      </c>
      <c r="AH83" s="10">
        <v>0.770929676970676</v>
      </c>
      <c r="AI83" s="10">
        <v>0.0835391452633375</v>
      </c>
      <c r="AJ83" s="10"/>
      <c r="AK83" s="11"/>
      <c r="AL83" s="11"/>
      <c r="AM83" s="11"/>
      <c r="AN83" s="11"/>
      <c r="AO83" s="9">
        <v>617120081.77</v>
      </c>
      <c r="AP83" s="9">
        <v>36818437.01</v>
      </c>
      <c r="AQ83" s="9">
        <v>37648280.69</v>
      </c>
      <c r="AR83" s="9">
        <v>43340581.85</v>
      </c>
      <c r="AS83" s="9">
        <v>35078007.32</v>
      </c>
      <c r="AT83" s="10">
        <v>0.946841222827743</v>
      </c>
      <c r="AU83" s="10">
        <v>0.749119850188987</v>
      </c>
      <c r="AV83" s="10">
        <v>0.0875229488011978</v>
      </c>
      <c r="AW83" s="10"/>
      <c r="AX83" s="11"/>
      <c r="AY83" s="11"/>
      <c r="AZ83" s="11"/>
      <c r="BA83" s="11"/>
      <c r="BB83" s="9">
        <f t="shared" ref="BB83:BF83" si="110">SUM(B83,O83,)</f>
        <v>1135722825.34</v>
      </c>
      <c r="BC83" s="9">
        <f t="shared" si="110"/>
        <v>64272628.95</v>
      </c>
      <c r="BD83" s="9">
        <f t="shared" si="110"/>
        <v>71799851.9</v>
      </c>
      <c r="BE83" s="9">
        <f t="shared" si="110"/>
        <v>86687646.14</v>
      </c>
      <c r="BF83" s="9">
        <f t="shared" si="110"/>
        <v>67424855.6799999</v>
      </c>
      <c r="BG83" s="10">
        <f t="shared" ref="BG83:BI83" si="111">AVERAGE(G83,T83,AT83,AG83)</f>
        <v>0.995914665890585</v>
      </c>
      <c r="BH83" s="10">
        <f t="shared" si="111"/>
        <v>0.77481099568501</v>
      </c>
      <c r="BI83" s="10">
        <f t="shared" si="111"/>
        <v>0.0833491468533057</v>
      </c>
      <c r="BJ83" s="11"/>
      <c r="BK83" s="11"/>
      <c r="BL83" s="11"/>
      <c r="BM83" s="11"/>
      <c r="BN83" s="11"/>
    </row>
    <row r="84" s="1" customFormat="1" spans="1:66">
      <c r="A84" s="9" t="s">
        <v>95</v>
      </c>
      <c r="B84" s="9">
        <v>600541737.75</v>
      </c>
      <c r="C84" s="9">
        <v>39388828.9</v>
      </c>
      <c r="D84" s="9">
        <v>54161692.61</v>
      </c>
      <c r="E84" s="9">
        <v>45488829.92</v>
      </c>
      <c r="F84" s="9">
        <v>38478365.97</v>
      </c>
      <c r="G84" s="10">
        <v>0.938528071248112</v>
      </c>
      <c r="H84" s="10">
        <v>0.741937047454787</v>
      </c>
      <c r="I84" s="10">
        <v>0.0802457598679217</v>
      </c>
      <c r="J84" s="10"/>
      <c r="K84" s="11"/>
      <c r="L84" s="11"/>
      <c r="M84" s="11"/>
      <c r="N84" s="11"/>
      <c r="O84" s="9">
        <v>594580594.7</v>
      </c>
      <c r="P84" s="9">
        <v>40082805.45</v>
      </c>
      <c r="Q84" s="9">
        <v>41648977.7</v>
      </c>
      <c r="R84" s="9">
        <v>46734232.31</v>
      </c>
      <c r="S84" s="9">
        <v>37754118.57</v>
      </c>
      <c r="T84" s="10">
        <v>0.938528071248112</v>
      </c>
      <c r="U84" s="10">
        <v>0.741937047454787</v>
      </c>
      <c r="V84" s="10">
        <v>0.0802457598679217</v>
      </c>
      <c r="W84" s="10"/>
      <c r="X84" s="11"/>
      <c r="Y84" s="11"/>
      <c r="Z84" s="11"/>
      <c r="AA84" s="11"/>
      <c r="AB84" s="9">
        <v>551434226.69</v>
      </c>
      <c r="AC84" s="9">
        <v>40256079.19</v>
      </c>
      <c r="AD84" s="9">
        <v>54789069.44</v>
      </c>
      <c r="AE84" s="9">
        <v>49372331.94</v>
      </c>
      <c r="AF84" s="9">
        <v>41110354.61</v>
      </c>
      <c r="AG84" s="10">
        <v>0.978233678994665</v>
      </c>
      <c r="AH84" s="10">
        <v>0.743712553144139</v>
      </c>
      <c r="AI84" s="10">
        <v>0.0900875029059795</v>
      </c>
      <c r="AJ84" s="10"/>
      <c r="AK84" s="11"/>
      <c r="AL84" s="11"/>
      <c r="AM84" s="11"/>
      <c r="AN84" s="11"/>
      <c r="AO84" s="9">
        <v>596336784.98</v>
      </c>
      <c r="AP84" s="9">
        <v>43680623.17</v>
      </c>
      <c r="AQ84" s="9">
        <v>54232041.57</v>
      </c>
      <c r="AR84" s="9">
        <v>51623633.92</v>
      </c>
      <c r="AS84" s="9">
        <v>40425940.34</v>
      </c>
      <c r="AT84" s="10">
        <v>0.821913787270207</v>
      </c>
      <c r="AU84" s="10">
        <v>0.66187294353268</v>
      </c>
      <c r="AV84" s="10">
        <v>0.0983165175392404</v>
      </c>
      <c r="AW84" s="10"/>
      <c r="AX84" s="11"/>
      <c r="AY84" s="11"/>
      <c r="AZ84" s="11"/>
      <c r="BA84" s="11"/>
      <c r="BB84" s="9">
        <f t="shared" ref="BB84:BF84" si="112">SUM(B84,O84,)</f>
        <v>1195122332.45</v>
      </c>
      <c r="BC84" s="9">
        <f t="shared" si="112"/>
        <v>79471634.35</v>
      </c>
      <c r="BD84" s="9">
        <f t="shared" si="112"/>
        <v>95810670.31</v>
      </c>
      <c r="BE84" s="9">
        <f t="shared" si="112"/>
        <v>92223062.23</v>
      </c>
      <c r="BF84" s="9">
        <f t="shared" si="112"/>
        <v>76232484.54</v>
      </c>
      <c r="BG84" s="10">
        <f t="shared" ref="BG84:BI84" si="113">AVERAGE(G84,T84,AT84,AG84)</f>
        <v>0.919300902190274</v>
      </c>
      <c r="BH84" s="10">
        <f t="shared" si="113"/>
        <v>0.722364897896598</v>
      </c>
      <c r="BI84" s="10">
        <f t="shared" si="113"/>
        <v>0.0872238850452659</v>
      </c>
      <c r="BJ84" s="11"/>
      <c r="BK84" s="11"/>
      <c r="BL84" s="11"/>
      <c r="BM84" s="11"/>
      <c r="BN84" s="11"/>
    </row>
    <row r="85" s="1" customFormat="1" spans="1:66">
      <c r="A85" s="12" t="s">
        <v>96</v>
      </c>
      <c r="B85" s="12">
        <v>1161968135.75</v>
      </c>
      <c r="C85" s="12">
        <v>70888818.69</v>
      </c>
      <c r="D85" s="12">
        <v>93443581.51</v>
      </c>
      <c r="E85" s="12">
        <v>87283551.38</v>
      </c>
      <c r="F85" s="12">
        <v>69459353.75</v>
      </c>
      <c r="G85" s="13">
        <v>0.98237860641677</v>
      </c>
      <c r="H85" s="13">
        <v>0.753385572992549</v>
      </c>
      <c r="I85" s="13">
        <v>0.0805115698672279</v>
      </c>
      <c r="J85" s="13"/>
      <c r="K85" s="11"/>
      <c r="L85" s="11"/>
      <c r="M85" s="11"/>
      <c r="N85" s="11"/>
      <c r="O85" s="12">
        <v>1168877022.04</v>
      </c>
      <c r="P85" s="12">
        <v>72855444.61</v>
      </c>
      <c r="Q85" s="12">
        <v>74166940.7</v>
      </c>
      <c r="R85" s="12">
        <v>91627156.99</v>
      </c>
      <c r="S85" s="12">
        <v>74197986.47</v>
      </c>
      <c r="T85" s="13">
        <v>0.98237860641677</v>
      </c>
      <c r="U85" s="13">
        <v>0.753385572992549</v>
      </c>
      <c r="V85" s="13">
        <v>0.0805115698672279</v>
      </c>
      <c r="W85" s="13"/>
      <c r="X85" s="11"/>
      <c r="Y85" s="11"/>
      <c r="Z85" s="11"/>
      <c r="AA85" s="11"/>
      <c r="AB85" s="12">
        <v>1121920430.2</v>
      </c>
      <c r="AC85" s="12">
        <v>74640273.31</v>
      </c>
      <c r="AD85" s="12">
        <v>102705622.66</v>
      </c>
      <c r="AE85" s="12">
        <v>91911522.75</v>
      </c>
      <c r="AF85" s="12">
        <v>76543929.83</v>
      </c>
      <c r="AG85" s="13">
        <v>0.975797974056443</v>
      </c>
      <c r="AH85" s="13">
        <v>0.74906130414407</v>
      </c>
      <c r="AI85" s="13">
        <v>0.0862014087519378</v>
      </c>
      <c r="AJ85" s="13"/>
      <c r="AK85" s="11"/>
      <c r="AL85" s="11"/>
      <c r="AM85" s="11"/>
      <c r="AN85" s="11"/>
      <c r="AO85" s="12">
        <v>1213456866.75</v>
      </c>
      <c r="AP85" s="12">
        <v>80499060.18</v>
      </c>
      <c r="AQ85" s="12">
        <v>91880322.26</v>
      </c>
      <c r="AR85" s="12">
        <v>94964215.77</v>
      </c>
      <c r="AS85" s="12">
        <v>75503947.66</v>
      </c>
      <c r="AT85" s="13">
        <v>0.85668864881398</v>
      </c>
      <c r="AU85" s="13">
        <v>0.682318415962004</v>
      </c>
      <c r="AV85" s="13">
        <v>0.0934835503631412</v>
      </c>
      <c r="AW85" s="13"/>
      <c r="AX85" s="11"/>
      <c r="AY85" s="11"/>
      <c r="AZ85" s="11"/>
      <c r="BA85" s="11"/>
      <c r="BB85" s="12">
        <v>1161968135.75</v>
      </c>
      <c r="BC85" s="12">
        <v>70888818.69</v>
      </c>
      <c r="BD85" s="12">
        <v>93443581.51</v>
      </c>
      <c r="BE85" s="12">
        <v>87283551.38</v>
      </c>
      <c r="BF85" s="12">
        <v>69459353.75</v>
      </c>
      <c r="BG85" s="13">
        <v>0.98237860641677</v>
      </c>
      <c r="BH85" s="13">
        <v>0.753385572992549</v>
      </c>
      <c r="BI85" s="13">
        <v>0.0805115698672279</v>
      </c>
      <c r="BJ85" s="11"/>
      <c r="BK85" s="11"/>
      <c r="BL85" s="11"/>
      <c r="BM85" s="11"/>
      <c r="BN85" s="11"/>
    </row>
    <row r="86" s="1" customFormat="1" spans="1:66">
      <c r="A86" s="9" t="s">
        <v>97</v>
      </c>
      <c r="B86" s="9">
        <v>607876748.95</v>
      </c>
      <c r="C86" s="9">
        <v>39806076.44</v>
      </c>
      <c r="D86" s="9">
        <v>46361853.21</v>
      </c>
      <c r="E86" s="9">
        <v>51155665.36</v>
      </c>
      <c r="F86" s="9">
        <v>36915144.76</v>
      </c>
      <c r="G86" s="10">
        <v>0.96092062731194</v>
      </c>
      <c r="H86" s="10">
        <v>0.703309171956569</v>
      </c>
      <c r="I86" s="10">
        <v>0.087821221391045</v>
      </c>
      <c r="J86" s="10"/>
      <c r="K86" s="11"/>
      <c r="L86" s="11"/>
      <c r="M86" s="11"/>
      <c r="N86" s="11"/>
      <c r="O86" s="9">
        <v>638442139.87</v>
      </c>
      <c r="P86" s="9">
        <v>41233922.12</v>
      </c>
      <c r="Q86" s="9">
        <v>43063730.21</v>
      </c>
      <c r="R86" s="9">
        <v>53560584.98</v>
      </c>
      <c r="S86" s="9">
        <v>40162882.92</v>
      </c>
      <c r="T86" s="10">
        <v>0.96092062731194</v>
      </c>
      <c r="U86" s="10">
        <v>0.703309171956569</v>
      </c>
      <c r="V86" s="10">
        <v>0.087821221391045</v>
      </c>
      <c r="W86" s="10"/>
      <c r="X86" s="11"/>
      <c r="Y86" s="11"/>
      <c r="Z86" s="11"/>
      <c r="AA86" s="11"/>
      <c r="AB86" s="9">
        <v>632596061.84</v>
      </c>
      <c r="AC86" s="9">
        <v>41031998.87</v>
      </c>
      <c r="AD86" s="9">
        <v>43132252.22</v>
      </c>
      <c r="AE86" s="9">
        <v>52735581.23</v>
      </c>
      <c r="AF86" s="9">
        <v>38720526.77</v>
      </c>
      <c r="AG86" s="10">
        <v>0.8993627570102</v>
      </c>
      <c r="AH86" s="10">
        <v>0.662496463136492</v>
      </c>
      <c r="AI86" s="10">
        <v>0.083817850512073</v>
      </c>
      <c r="AJ86" s="10"/>
      <c r="AK86" s="11"/>
      <c r="AL86" s="11"/>
      <c r="AM86" s="11"/>
      <c r="AN86" s="11"/>
      <c r="AO86" s="9">
        <v>656484216.69</v>
      </c>
      <c r="AP86" s="9">
        <v>43393299.58</v>
      </c>
      <c r="AQ86" s="9">
        <v>50881651.42</v>
      </c>
      <c r="AR86" s="9">
        <v>55460296.63</v>
      </c>
      <c r="AS86" s="9">
        <v>40388359.91</v>
      </c>
      <c r="AT86" s="10">
        <v>0.926803050057764</v>
      </c>
      <c r="AU86" s="10">
        <v>0.670965592943801</v>
      </c>
      <c r="AV86" s="10">
        <v>0.0871803236715785</v>
      </c>
      <c r="AW86" s="10"/>
      <c r="AX86" s="11"/>
      <c r="AY86" s="11"/>
      <c r="AZ86" s="11"/>
      <c r="BA86" s="11"/>
      <c r="BB86" s="9">
        <f t="shared" ref="BB86:BF86" si="114">SUM(B86,O86,)</f>
        <v>1246318888.82</v>
      </c>
      <c r="BC86" s="9">
        <f t="shared" si="114"/>
        <v>81039998.56</v>
      </c>
      <c r="BD86" s="9">
        <f t="shared" si="114"/>
        <v>89425583.42</v>
      </c>
      <c r="BE86" s="9">
        <f t="shared" si="114"/>
        <v>104716250.34</v>
      </c>
      <c r="BF86" s="9">
        <f t="shared" si="114"/>
        <v>77078027.68</v>
      </c>
      <c r="BG86" s="10">
        <f t="shared" ref="BG86:BI86" si="115">AVERAGE(G86,T86,AT86,AG86)</f>
        <v>0.937001765422961</v>
      </c>
      <c r="BH86" s="10">
        <f t="shared" si="115"/>
        <v>0.685020099998357</v>
      </c>
      <c r="BI86" s="10">
        <f t="shared" si="115"/>
        <v>0.0866601542414354</v>
      </c>
      <c r="BJ86" s="11"/>
      <c r="BK86" s="11"/>
      <c r="BL86" s="11"/>
      <c r="BM86" s="11"/>
      <c r="BN86" s="11"/>
    </row>
    <row r="87" s="1" customFormat="1" spans="1:66">
      <c r="A87" s="9" t="s">
        <v>99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10">
        <v>0</v>
      </c>
      <c r="H87" s="10">
        <v>0</v>
      </c>
      <c r="I87" s="10">
        <v>0</v>
      </c>
      <c r="J87" s="10"/>
      <c r="K87" s="11"/>
      <c r="L87" s="11"/>
      <c r="M87" s="11"/>
      <c r="N87" s="11"/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10">
        <v>0</v>
      </c>
      <c r="U87" s="10">
        <v>0</v>
      </c>
      <c r="V87" s="10">
        <v>0</v>
      </c>
      <c r="W87" s="10"/>
      <c r="X87" s="11"/>
      <c r="Y87" s="11"/>
      <c r="Z87" s="11"/>
      <c r="AA87" s="11"/>
      <c r="AB87" s="9">
        <v>11000000</v>
      </c>
      <c r="AC87" s="9">
        <v>587004.94</v>
      </c>
      <c r="AD87" s="9">
        <v>587004.94</v>
      </c>
      <c r="AE87" s="9">
        <v>587004.94</v>
      </c>
      <c r="AF87" s="9">
        <v>587004.94</v>
      </c>
      <c r="AG87" s="10">
        <v>0.5</v>
      </c>
      <c r="AH87" s="10">
        <v>0.5</v>
      </c>
      <c r="AI87" s="10">
        <v>0.0266820427272727</v>
      </c>
      <c r="AJ87" s="10"/>
      <c r="AK87" s="11"/>
      <c r="AL87" s="11"/>
      <c r="AM87" s="11"/>
      <c r="AN87" s="11"/>
      <c r="AO87" s="9">
        <v>29006591.49</v>
      </c>
      <c r="AP87" s="9">
        <v>1469430.73</v>
      </c>
      <c r="AQ87" s="9">
        <v>1469430.73</v>
      </c>
      <c r="AR87" s="9">
        <v>1469430.73</v>
      </c>
      <c r="AS87" s="9">
        <v>1469430.73</v>
      </c>
      <c r="AT87" s="10">
        <v>0.5</v>
      </c>
      <c r="AU87" s="10">
        <v>0.5</v>
      </c>
      <c r="AV87" s="10">
        <v>0.0253292554298664</v>
      </c>
      <c r="AW87" s="10"/>
      <c r="AX87" s="11"/>
      <c r="AY87" s="11"/>
      <c r="AZ87" s="11"/>
      <c r="BA87" s="11"/>
      <c r="BB87" s="9">
        <f t="shared" ref="BB87:BF87" si="116">SUM(B87,O87,)</f>
        <v>0</v>
      </c>
      <c r="BC87" s="9">
        <f t="shared" si="116"/>
        <v>0</v>
      </c>
      <c r="BD87" s="9">
        <f t="shared" si="116"/>
        <v>0</v>
      </c>
      <c r="BE87" s="9">
        <f t="shared" si="116"/>
        <v>0</v>
      </c>
      <c r="BF87" s="9">
        <f t="shared" si="116"/>
        <v>0</v>
      </c>
      <c r="BG87" s="10">
        <f t="shared" ref="BG87:BI87" si="117">AVERAGE(G87,T87,AT87,AG87)</f>
        <v>0.25</v>
      </c>
      <c r="BH87" s="10">
        <f t="shared" si="117"/>
        <v>0.25</v>
      </c>
      <c r="BI87" s="10">
        <f t="shared" si="117"/>
        <v>0.0130028245392848</v>
      </c>
      <c r="BJ87" s="11"/>
      <c r="BK87" s="11"/>
      <c r="BL87" s="11"/>
      <c r="BM87" s="11"/>
      <c r="BN87" s="11"/>
    </row>
    <row r="88" s="1" customFormat="1" spans="1:66">
      <c r="A88" s="9" t="s">
        <v>98</v>
      </c>
      <c r="B88" s="9">
        <v>432394621.57</v>
      </c>
      <c r="C88" s="9">
        <v>24674168.29</v>
      </c>
      <c r="D88" s="9">
        <v>24068855.07</v>
      </c>
      <c r="E88" s="9">
        <v>27427477.67</v>
      </c>
      <c r="F88" s="9">
        <v>24099255.34</v>
      </c>
      <c r="G88" s="10">
        <v>0.96553744087221</v>
      </c>
      <c r="H88" s="10">
        <v>0.826206561826806</v>
      </c>
      <c r="I88" s="10">
        <v>0.0610795883431866</v>
      </c>
      <c r="J88" s="10"/>
      <c r="K88" s="11"/>
      <c r="L88" s="11"/>
      <c r="M88" s="11"/>
      <c r="N88" s="11"/>
      <c r="O88" s="9">
        <v>457906536.71</v>
      </c>
      <c r="P88" s="9">
        <v>26111349.15</v>
      </c>
      <c r="Q88" s="9">
        <v>23796272.95</v>
      </c>
      <c r="R88" s="9">
        <v>29288406.92</v>
      </c>
      <c r="S88" s="9">
        <v>25290037.16</v>
      </c>
      <c r="T88" s="10">
        <v>0.96553744087221</v>
      </c>
      <c r="U88" s="10">
        <v>0.826206561826806</v>
      </c>
      <c r="V88" s="10">
        <v>0.0610795883431866</v>
      </c>
      <c r="W88" s="10"/>
      <c r="X88" s="11"/>
      <c r="Y88" s="11"/>
      <c r="Z88" s="11"/>
      <c r="AA88" s="11"/>
      <c r="AB88" s="9">
        <v>470709580.51</v>
      </c>
      <c r="AC88" s="9">
        <v>27125866.11</v>
      </c>
      <c r="AD88" s="9">
        <v>30669366.53</v>
      </c>
      <c r="AE88" s="9">
        <v>30928337.06</v>
      </c>
      <c r="AF88" s="9">
        <v>26739373.96</v>
      </c>
      <c r="AG88" s="10">
        <v>0.973749808537496</v>
      </c>
      <c r="AH88" s="10">
        <v>0.815342102739355</v>
      </c>
      <c r="AI88" s="10">
        <v>0.0637229243485747</v>
      </c>
      <c r="AJ88" s="10"/>
      <c r="AK88" s="11"/>
      <c r="AL88" s="11"/>
      <c r="AM88" s="11"/>
      <c r="AN88" s="11"/>
      <c r="AO88" s="9">
        <v>490623726.54</v>
      </c>
      <c r="AP88" s="9">
        <v>28639260.99</v>
      </c>
      <c r="AQ88" s="9">
        <v>30435226.38</v>
      </c>
      <c r="AR88" s="9">
        <v>32631559.62</v>
      </c>
      <c r="AS88" s="9">
        <v>27496808.99</v>
      </c>
      <c r="AT88" s="10">
        <v>0.955291845501907</v>
      </c>
      <c r="AU88" s="10">
        <v>0.789318315505676</v>
      </c>
      <c r="AV88" s="10">
        <v>0.06606646015566</v>
      </c>
      <c r="AW88" s="10"/>
      <c r="AX88" s="11"/>
      <c r="AY88" s="11"/>
      <c r="AZ88" s="11"/>
      <c r="BA88" s="11"/>
      <c r="BB88" s="9">
        <f t="shared" ref="BB88:BF88" si="118">SUM(B88,O88,)</f>
        <v>890301158.28</v>
      </c>
      <c r="BC88" s="9">
        <f t="shared" si="118"/>
        <v>50785517.44</v>
      </c>
      <c r="BD88" s="9">
        <f t="shared" si="118"/>
        <v>47865128.02</v>
      </c>
      <c r="BE88" s="9">
        <f t="shared" si="118"/>
        <v>56715884.59</v>
      </c>
      <c r="BF88" s="9">
        <f t="shared" si="118"/>
        <v>49389292.5</v>
      </c>
      <c r="BG88" s="10">
        <f t="shared" ref="BG88:BI88" si="119">AVERAGE(G88,T88,AT88,AG88)</f>
        <v>0.965029133945956</v>
      </c>
      <c r="BH88" s="10">
        <f t="shared" si="119"/>
        <v>0.814268385474661</v>
      </c>
      <c r="BI88" s="10">
        <f t="shared" si="119"/>
        <v>0.062987140297652</v>
      </c>
      <c r="BJ88" s="11"/>
      <c r="BK88" s="11"/>
      <c r="BL88" s="11"/>
      <c r="BM88" s="11"/>
      <c r="BN88" s="11"/>
    </row>
    <row r="89" s="1" customFormat="1" spans="1:66">
      <c r="A89" s="12" t="s">
        <v>100</v>
      </c>
      <c r="B89" s="12">
        <v>1040271370.52</v>
      </c>
      <c r="C89" s="12">
        <v>64480244.73</v>
      </c>
      <c r="D89" s="12">
        <v>70430708.28</v>
      </c>
      <c r="E89" s="12">
        <v>78583143.03</v>
      </c>
      <c r="F89" s="12">
        <v>61014400.1</v>
      </c>
      <c r="G89" s="13">
        <v>0.961061461040214</v>
      </c>
      <c r="H89" s="13">
        <v>0.73701337059008</v>
      </c>
      <c r="I89" s="13">
        <v>0.078533760714552</v>
      </c>
      <c r="J89" s="13"/>
      <c r="K89" s="11"/>
      <c r="L89" s="11"/>
      <c r="M89" s="11"/>
      <c r="N89" s="11"/>
      <c r="O89" s="12">
        <v>1096348676.58</v>
      </c>
      <c r="P89" s="12">
        <v>67345271.27</v>
      </c>
      <c r="Q89" s="12">
        <v>66860003.16</v>
      </c>
      <c r="R89" s="12">
        <v>82848991.9</v>
      </c>
      <c r="S89" s="12">
        <v>65452920.08</v>
      </c>
      <c r="T89" s="13">
        <v>0.961061461040214</v>
      </c>
      <c r="U89" s="13">
        <v>0.73701337059008</v>
      </c>
      <c r="V89" s="13">
        <v>0.078533760714552</v>
      </c>
      <c r="W89" s="13"/>
      <c r="X89" s="11"/>
      <c r="Y89" s="11"/>
      <c r="Z89" s="11"/>
      <c r="AA89" s="11"/>
      <c r="AB89" s="12">
        <v>1114305642.35</v>
      </c>
      <c r="AC89" s="12">
        <v>68744869.92</v>
      </c>
      <c r="AD89" s="12">
        <v>74388623.69</v>
      </c>
      <c r="AE89" s="12">
        <v>84250923.23</v>
      </c>
      <c r="AF89" s="12">
        <v>66046905.67</v>
      </c>
      <c r="AG89" s="13">
        <v>0.921054169889365</v>
      </c>
      <c r="AH89" s="13">
        <v>0.70664143468803</v>
      </c>
      <c r="AI89" s="13">
        <v>0.076455441029324</v>
      </c>
      <c r="AJ89" s="13"/>
      <c r="AK89" s="11"/>
      <c r="AL89" s="11"/>
      <c r="AM89" s="11"/>
      <c r="AN89" s="11"/>
      <c r="AO89" s="12">
        <v>1176114534.72</v>
      </c>
      <c r="AP89" s="12">
        <v>73501991.3</v>
      </c>
      <c r="AQ89" s="12">
        <v>82786308.53</v>
      </c>
      <c r="AR89" s="12">
        <v>89561286.98</v>
      </c>
      <c r="AS89" s="12">
        <v>69354599.63</v>
      </c>
      <c r="AT89" s="13">
        <v>0.937171151812372</v>
      </c>
      <c r="AU89" s="13">
        <v>0.707753348269303</v>
      </c>
      <c r="AV89" s="13">
        <v>0.0793336076383238</v>
      </c>
      <c r="AW89" s="13"/>
      <c r="AX89" s="11"/>
      <c r="AY89" s="11"/>
      <c r="AZ89" s="11"/>
      <c r="BA89" s="11"/>
      <c r="BB89" s="12">
        <v>1040271370.52</v>
      </c>
      <c r="BC89" s="12">
        <v>64480244.73</v>
      </c>
      <c r="BD89" s="12">
        <v>70430708.28</v>
      </c>
      <c r="BE89" s="12">
        <v>78583143.03</v>
      </c>
      <c r="BF89" s="12">
        <v>61014400.1</v>
      </c>
      <c r="BG89" s="13">
        <v>0.961061461040214</v>
      </c>
      <c r="BH89" s="13">
        <v>0.73701337059008</v>
      </c>
      <c r="BI89" s="13">
        <v>0.078533760714552</v>
      </c>
      <c r="BJ89" s="11"/>
      <c r="BK89" s="11"/>
      <c r="BL89" s="11"/>
      <c r="BM89" s="11"/>
      <c r="BN89" s="11"/>
    </row>
    <row r="90" s="1" customFormat="1" spans="1:66">
      <c r="A90" s="14" t="s">
        <v>101</v>
      </c>
      <c r="B90" s="14">
        <v>4859362196.65</v>
      </c>
      <c r="C90" s="14">
        <v>315847067.04</v>
      </c>
      <c r="D90" s="14">
        <v>364626589.82</v>
      </c>
      <c r="E90" s="14">
        <v>370427191.57</v>
      </c>
      <c r="F90" s="14">
        <v>306641053.74</v>
      </c>
      <c r="G90" s="15">
        <v>0.977470932841547</v>
      </c>
      <c r="H90" s="15">
        <v>0.817601829236649</v>
      </c>
      <c r="I90" s="15">
        <v>0.078904392764113</v>
      </c>
      <c r="J90" s="15"/>
      <c r="K90" s="11"/>
      <c r="L90" s="11"/>
      <c r="M90" s="11"/>
      <c r="N90" s="11"/>
      <c r="O90" s="14">
        <v>4901409786.76</v>
      </c>
      <c r="P90" s="14">
        <v>324001933.05</v>
      </c>
      <c r="Q90" s="14">
        <v>351559310.55</v>
      </c>
      <c r="R90" s="14">
        <v>383572771.26</v>
      </c>
      <c r="S90" s="14">
        <v>318258443.2</v>
      </c>
      <c r="T90" s="15">
        <v>0.977470932841547</v>
      </c>
      <c r="U90" s="15">
        <v>0.817601829236649</v>
      </c>
      <c r="V90" s="15">
        <v>0.078904392764113</v>
      </c>
      <c r="W90" s="15"/>
      <c r="X90" s="11"/>
      <c r="Y90" s="11"/>
      <c r="Z90" s="11"/>
      <c r="AA90" s="11"/>
      <c r="AB90" s="14">
        <v>4670423679.88</v>
      </c>
      <c r="AC90" s="14">
        <v>331600233.03</v>
      </c>
      <c r="AD90" s="14">
        <v>418519344.04</v>
      </c>
      <c r="AE90" s="14">
        <v>387727525.32</v>
      </c>
      <c r="AF90" s="14">
        <v>326211894.97</v>
      </c>
      <c r="AG90" s="15">
        <v>0.936304642410726</v>
      </c>
      <c r="AH90" s="15">
        <v>0.800515557730495</v>
      </c>
      <c r="AI90" s="15">
        <v>0.0863147768676485</v>
      </c>
      <c r="AJ90" s="15"/>
      <c r="AK90" s="11"/>
      <c r="AL90" s="11"/>
      <c r="AM90" s="11"/>
      <c r="AN90" s="11"/>
      <c r="AO90" s="14">
        <v>4858463585.64</v>
      </c>
      <c r="AP90" s="14">
        <v>341419819.5</v>
      </c>
      <c r="AQ90" s="14">
        <v>386724283.88</v>
      </c>
      <c r="AR90" s="14">
        <v>417167109.66</v>
      </c>
      <c r="AS90" s="14">
        <v>325751941.75</v>
      </c>
      <c r="AT90" s="15">
        <v>0.9277879851329</v>
      </c>
      <c r="AU90" s="15">
        <v>0.739264919913381</v>
      </c>
      <c r="AV90" s="15">
        <v>0.0910498846455159</v>
      </c>
      <c r="AW90" s="15"/>
      <c r="AX90" s="11"/>
      <c r="AY90" s="11"/>
      <c r="AZ90" s="11"/>
      <c r="BA90" s="11"/>
      <c r="BB90" s="14">
        <v>4859362196.65</v>
      </c>
      <c r="BC90" s="14">
        <v>315847067.04</v>
      </c>
      <c r="BD90" s="14">
        <v>364626589.82</v>
      </c>
      <c r="BE90" s="14">
        <v>370427191.57</v>
      </c>
      <c r="BF90" s="14">
        <v>306641053.74</v>
      </c>
      <c r="BG90" s="15">
        <v>0.977470932841547</v>
      </c>
      <c r="BH90" s="15">
        <v>0.817601829236649</v>
      </c>
      <c r="BI90" s="15">
        <v>0.078904392764113</v>
      </c>
      <c r="BJ90" s="11"/>
      <c r="BK90" s="11"/>
      <c r="BL90" s="11"/>
      <c r="BM90" s="11"/>
      <c r="BN90" s="11"/>
    </row>
    <row r="91" s="1" customFormat="1" spans="1:66">
      <c r="A91" s="9" t="s">
        <v>102</v>
      </c>
      <c r="B91" s="9">
        <v>351053378.78</v>
      </c>
      <c r="C91" s="9">
        <v>27940207.29</v>
      </c>
      <c r="D91" s="9">
        <v>29089558.36</v>
      </c>
      <c r="E91" s="9">
        <v>32550266.74</v>
      </c>
      <c r="F91" s="9">
        <v>25943464.42</v>
      </c>
      <c r="G91" s="10">
        <v>0.97080463263965</v>
      </c>
      <c r="H91" s="10">
        <v>0.892038747813486</v>
      </c>
      <c r="I91" s="10">
        <v>0.128086919892791</v>
      </c>
      <c r="J91" s="10"/>
      <c r="K91" s="11"/>
      <c r="L91" s="11"/>
      <c r="M91" s="11"/>
      <c r="N91" s="11"/>
      <c r="O91" s="9">
        <v>340350432.05</v>
      </c>
      <c r="P91" s="9">
        <v>28020707.61</v>
      </c>
      <c r="Q91" s="9">
        <v>25066621.2</v>
      </c>
      <c r="R91" s="9">
        <v>33241575.9</v>
      </c>
      <c r="S91" s="9">
        <v>26158921.23</v>
      </c>
      <c r="T91" s="10">
        <v>0.97080463263965</v>
      </c>
      <c r="U91" s="10">
        <v>0.892038747813486</v>
      </c>
      <c r="V91" s="10">
        <v>0.128086919892791</v>
      </c>
      <c r="W91" s="10"/>
      <c r="X91" s="11"/>
      <c r="Y91" s="11"/>
      <c r="Z91" s="11"/>
      <c r="AA91" s="11"/>
      <c r="AB91" s="9">
        <v>339482054.45</v>
      </c>
      <c r="AC91" s="9">
        <v>28163825.51</v>
      </c>
      <c r="AD91" s="9">
        <v>31957379.16</v>
      </c>
      <c r="AE91" s="9">
        <v>33291807.1</v>
      </c>
      <c r="AF91" s="9">
        <v>27805401.35</v>
      </c>
      <c r="AG91" s="10">
        <v>0.993536809959719</v>
      </c>
      <c r="AH91" s="10">
        <v>0.91650855953308</v>
      </c>
      <c r="AI91" s="10">
        <v>0.141378660052001</v>
      </c>
      <c r="AJ91" s="10"/>
      <c r="AK91" s="11"/>
      <c r="AL91" s="11"/>
      <c r="AM91" s="11"/>
      <c r="AN91" s="11"/>
      <c r="AO91" s="9">
        <v>336521659.5</v>
      </c>
      <c r="AP91" s="9">
        <v>28495571.35</v>
      </c>
      <c r="AQ91" s="9">
        <v>27958519.52</v>
      </c>
      <c r="AR91" s="9">
        <v>32952758.15</v>
      </c>
      <c r="AS91" s="9">
        <v>26349069.07</v>
      </c>
      <c r="AT91" s="10">
        <v>0.831124309400164</v>
      </c>
      <c r="AU91" s="10">
        <v>0.767548565975584</v>
      </c>
      <c r="AV91" s="10">
        <v>0.161089865320929</v>
      </c>
      <c r="AW91" s="10"/>
      <c r="AX91" s="11"/>
      <c r="AY91" s="11"/>
      <c r="AZ91" s="11"/>
      <c r="BA91" s="11"/>
      <c r="BB91" s="9">
        <f t="shared" ref="BB91:BF91" si="120">SUM(B91,O91,)</f>
        <v>691403810.83</v>
      </c>
      <c r="BC91" s="9">
        <f t="shared" si="120"/>
        <v>55960914.9</v>
      </c>
      <c r="BD91" s="9">
        <f t="shared" si="120"/>
        <v>54156179.56</v>
      </c>
      <c r="BE91" s="9">
        <f t="shared" si="120"/>
        <v>65791842.64</v>
      </c>
      <c r="BF91" s="9">
        <f t="shared" si="120"/>
        <v>52102385.65</v>
      </c>
      <c r="BG91" s="10">
        <f t="shared" ref="BG91:BI91" si="121">AVERAGE(G91,T91,AT91,AG91)</f>
        <v>0.941567596159796</v>
      </c>
      <c r="BH91" s="10">
        <f t="shared" si="121"/>
        <v>0.867033655283909</v>
      </c>
      <c r="BI91" s="10">
        <f t="shared" si="121"/>
        <v>0.139660591289628</v>
      </c>
      <c r="BJ91" s="11"/>
      <c r="BK91" s="11"/>
      <c r="BL91" s="11"/>
      <c r="BM91" s="11"/>
      <c r="BN91" s="11"/>
    </row>
    <row r="92" s="1" customFormat="1" spans="1:66">
      <c r="A92" s="9" t="s">
        <v>103</v>
      </c>
      <c r="B92" s="9">
        <v>439021103.69</v>
      </c>
      <c r="C92" s="9">
        <v>31952651.25</v>
      </c>
      <c r="D92" s="9">
        <v>35126827.58</v>
      </c>
      <c r="E92" s="9">
        <v>41042135.81</v>
      </c>
      <c r="F92" s="9">
        <v>29317855.23</v>
      </c>
      <c r="G92" s="10">
        <v>0.967566607010376</v>
      </c>
      <c r="H92" s="10">
        <v>0.850508409760654</v>
      </c>
      <c r="I92" s="10">
        <v>0.0784983267398911</v>
      </c>
      <c r="J92" s="10"/>
      <c r="K92" s="11"/>
      <c r="L92" s="11"/>
      <c r="M92" s="11"/>
      <c r="N92" s="11"/>
      <c r="O92" s="9">
        <v>441633088.77</v>
      </c>
      <c r="P92" s="9">
        <v>32962204.22</v>
      </c>
      <c r="Q92" s="9">
        <v>28262162.17</v>
      </c>
      <c r="R92" s="9">
        <v>43644833.69</v>
      </c>
      <c r="S92" s="9">
        <v>30887304.29</v>
      </c>
      <c r="T92" s="10">
        <v>0.967566607010376</v>
      </c>
      <c r="U92" s="10">
        <v>0.850508409760654</v>
      </c>
      <c r="V92" s="10">
        <v>0.0784983267398911</v>
      </c>
      <c r="W92" s="10"/>
      <c r="X92" s="11"/>
      <c r="Y92" s="11"/>
      <c r="Z92" s="11"/>
      <c r="AA92" s="11"/>
      <c r="AB92" s="9">
        <v>427513117.93</v>
      </c>
      <c r="AC92" s="9">
        <v>32964264.34</v>
      </c>
      <c r="AD92" s="9">
        <v>38345404.13</v>
      </c>
      <c r="AE92" s="9">
        <v>44260295.09</v>
      </c>
      <c r="AF92" s="9">
        <v>32144552.72</v>
      </c>
      <c r="AG92" s="10">
        <v>0.987187663091805</v>
      </c>
      <c r="AH92" s="10">
        <v>0.860047466301535</v>
      </c>
      <c r="AI92" s="10">
        <v>0.0821956869196556</v>
      </c>
      <c r="AJ92" s="10"/>
      <c r="AK92" s="11"/>
      <c r="AL92" s="11"/>
      <c r="AM92" s="11"/>
      <c r="AN92" s="11"/>
      <c r="AO92" s="9">
        <v>429213805.41</v>
      </c>
      <c r="AP92" s="9">
        <v>33982041.87</v>
      </c>
      <c r="AQ92" s="9">
        <v>39676318.49</v>
      </c>
      <c r="AR92" s="9">
        <v>44812083.04</v>
      </c>
      <c r="AS92" s="9">
        <v>31562072.44</v>
      </c>
      <c r="AT92" s="10">
        <v>0.903170034681972</v>
      </c>
      <c r="AU92" s="10">
        <v>0.788247743698165</v>
      </c>
      <c r="AV92" s="10">
        <v>0.0840225376586419</v>
      </c>
      <c r="AW92" s="10"/>
      <c r="AX92" s="11"/>
      <c r="AY92" s="11"/>
      <c r="AZ92" s="11"/>
      <c r="BA92" s="11"/>
      <c r="BB92" s="9">
        <f t="shared" ref="BB92:BF92" si="122">SUM(B92,O92,)</f>
        <v>880654192.46</v>
      </c>
      <c r="BC92" s="9">
        <f t="shared" si="122"/>
        <v>64914855.47</v>
      </c>
      <c r="BD92" s="9">
        <f t="shared" si="122"/>
        <v>63388989.75</v>
      </c>
      <c r="BE92" s="9">
        <f t="shared" si="122"/>
        <v>84686969.5</v>
      </c>
      <c r="BF92" s="9">
        <f t="shared" si="122"/>
        <v>60205159.52</v>
      </c>
      <c r="BG92" s="10">
        <f t="shared" ref="BG92:BI92" si="123">AVERAGE(G92,T92,AT92,AG92)</f>
        <v>0.956372727948632</v>
      </c>
      <c r="BH92" s="10">
        <f t="shared" si="123"/>
        <v>0.837328007380252</v>
      </c>
      <c r="BI92" s="10">
        <f t="shared" si="123"/>
        <v>0.0808037195145199</v>
      </c>
      <c r="BJ92" s="11"/>
      <c r="BK92" s="11"/>
      <c r="BL92" s="11"/>
      <c r="BM92" s="11"/>
      <c r="BN92" s="11"/>
    </row>
    <row r="93" s="1" customFormat="1" spans="1:66">
      <c r="A93" s="9" t="s">
        <v>104</v>
      </c>
      <c r="B93" s="9">
        <v>228114646.17</v>
      </c>
      <c r="C93" s="9">
        <v>17771159.38</v>
      </c>
      <c r="D93" s="9">
        <v>17792148.53</v>
      </c>
      <c r="E93" s="9">
        <v>24514723.79</v>
      </c>
      <c r="F93" s="9">
        <v>15610511.6</v>
      </c>
      <c r="G93" s="10">
        <v>0.931818617019321</v>
      </c>
      <c r="H93" s="10">
        <v>0.748696843126025</v>
      </c>
      <c r="I93" s="10">
        <v>0.0935930698791202</v>
      </c>
      <c r="J93" s="10"/>
      <c r="K93" s="11"/>
      <c r="L93" s="11"/>
      <c r="M93" s="11"/>
      <c r="N93" s="11"/>
      <c r="O93" s="9">
        <v>227202447.74</v>
      </c>
      <c r="P93" s="9">
        <v>17835115.51</v>
      </c>
      <c r="Q93" s="9">
        <v>14923441.34</v>
      </c>
      <c r="R93" s="9">
        <v>25697409.91</v>
      </c>
      <c r="S93" s="9">
        <v>17863391.33</v>
      </c>
      <c r="T93" s="10">
        <v>0.931818617019321</v>
      </c>
      <c r="U93" s="10">
        <v>0.748696843126025</v>
      </c>
      <c r="V93" s="10">
        <v>0.0935930698791202</v>
      </c>
      <c r="W93" s="10"/>
      <c r="X93" s="11"/>
      <c r="Y93" s="11"/>
      <c r="Z93" s="11"/>
      <c r="AA93" s="11"/>
      <c r="AB93" s="9">
        <v>231649069.05</v>
      </c>
      <c r="AC93" s="9">
        <v>18032660.99</v>
      </c>
      <c r="AD93" s="9">
        <v>20132331.59</v>
      </c>
      <c r="AE93" s="9">
        <v>25139484.25</v>
      </c>
      <c r="AF93" s="9">
        <v>16717223.59</v>
      </c>
      <c r="AG93" s="10">
        <v>0.894065857846784</v>
      </c>
      <c r="AH93" s="10">
        <v>0.732875888708434</v>
      </c>
      <c r="AI93" s="10">
        <v>0.0930862855764355</v>
      </c>
      <c r="AJ93" s="10"/>
      <c r="AK93" s="11"/>
      <c r="AL93" s="11"/>
      <c r="AM93" s="11"/>
      <c r="AN93" s="11"/>
      <c r="AO93" s="9">
        <v>240468951.03</v>
      </c>
      <c r="AP93" s="9">
        <v>19077518.88</v>
      </c>
      <c r="AQ93" s="9">
        <v>18631056.88</v>
      </c>
      <c r="AR93" s="9">
        <v>26916976.35</v>
      </c>
      <c r="AS93" s="9">
        <v>16886091.03</v>
      </c>
      <c r="AT93" s="10">
        <v>0.780503696794117</v>
      </c>
      <c r="AU93" s="10">
        <v>0.627149416459726</v>
      </c>
      <c r="AV93" s="10">
        <v>0.0968614974754783</v>
      </c>
      <c r="AW93" s="10"/>
      <c r="AX93" s="11"/>
      <c r="AY93" s="11"/>
      <c r="AZ93" s="11"/>
      <c r="BA93" s="11"/>
      <c r="BB93" s="9">
        <f t="shared" ref="BB93:BF93" si="124">SUM(B93,O93,)</f>
        <v>455317093.91</v>
      </c>
      <c r="BC93" s="9">
        <f t="shared" si="124"/>
        <v>35606274.89</v>
      </c>
      <c r="BD93" s="9">
        <f t="shared" si="124"/>
        <v>32715589.87</v>
      </c>
      <c r="BE93" s="9">
        <f t="shared" si="124"/>
        <v>50212133.7</v>
      </c>
      <c r="BF93" s="9">
        <f t="shared" si="124"/>
        <v>33473902.93</v>
      </c>
      <c r="BG93" s="10">
        <f t="shared" ref="BG93:BI93" si="125">AVERAGE(G93,T93,AT93,AG93)</f>
        <v>0.884551697169886</v>
      </c>
      <c r="BH93" s="10">
        <f t="shared" si="125"/>
        <v>0.714354747855052</v>
      </c>
      <c r="BI93" s="10">
        <f t="shared" si="125"/>
        <v>0.0942834807025386</v>
      </c>
      <c r="BJ93" s="11"/>
      <c r="BK93" s="11"/>
      <c r="BL93" s="11"/>
      <c r="BM93" s="11"/>
      <c r="BN93" s="11"/>
    </row>
    <row r="94" s="1" customFormat="1" spans="1:66">
      <c r="A94" s="12" t="s">
        <v>105</v>
      </c>
      <c r="B94" s="12">
        <v>1018189128.64</v>
      </c>
      <c r="C94" s="12">
        <v>77664017.92</v>
      </c>
      <c r="D94" s="12">
        <v>82008534.47</v>
      </c>
      <c r="E94" s="12">
        <v>98107126.34</v>
      </c>
      <c r="F94" s="12">
        <v>70871831.25</v>
      </c>
      <c r="G94" s="13">
        <v>0.966384454621962</v>
      </c>
      <c r="H94" s="13">
        <v>0.848686124213521</v>
      </c>
      <c r="I94" s="13">
        <v>0.0866928278668607</v>
      </c>
      <c r="J94" s="13"/>
      <c r="K94" s="11"/>
      <c r="L94" s="11"/>
      <c r="M94" s="11"/>
      <c r="N94" s="11"/>
      <c r="O94" s="12">
        <v>1009185968.56</v>
      </c>
      <c r="P94" s="12">
        <v>78818027.34</v>
      </c>
      <c r="Q94" s="12">
        <v>68252224.71</v>
      </c>
      <c r="R94" s="12">
        <v>102583819.5</v>
      </c>
      <c r="S94" s="12">
        <v>74909616.85</v>
      </c>
      <c r="T94" s="13">
        <v>0.966384454621962</v>
      </c>
      <c r="U94" s="13">
        <v>0.848686124213521</v>
      </c>
      <c r="V94" s="13">
        <v>0.0866928278668607</v>
      </c>
      <c r="W94" s="13"/>
      <c r="X94" s="11"/>
      <c r="Y94" s="11"/>
      <c r="Z94" s="11"/>
      <c r="AA94" s="11"/>
      <c r="AB94" s="12">
        <v>998644241.43</v>
      </c>
      <c r="AC94" s="12">
        <v>79160750.84</v>
      </c>
      <c r="AD94" s="12">
        <v>90435114.88</v>
      </c>
      <c r="AE94" s="12">
        <v>102691586.44</v>
      </c>
      <c r="AF94" s="12">
        <v>76667177.66</v>
      </c>
      <c r="AG94" s="13">
        <v>0.974417181370892</v>
      </c>
      <c r="AH94" s="13">
        <v>0.856863875226667</v>
      </c>
      <c r="AI94" s="13">
        <v>0.0893074521782451</v>
      </c>
      <c r="AJ94" s="13"/>
      <c r="AK94" s="11"/>
      <c r="AL94" s="11"/>
      <c r="AM94" s="11"/>
      <c r="AN94" s="11"/>
      <c r="AO94" s="12">
        <v>1006204415.94</v>
      </c>
      <c r="AP94" s="12">
        <v>81555132.1</v>
      </c>
      <c r="AQ94" s="12">
        <v>86265894.89</v>
      </c>
      <c r="AR94" s="12">
        <v>104681817.54</v>
      </c>
      <c r="AS94" s="12">
        <v>74797232.54</v>
      </c>
      <c r="AT94" s="13">
        <v>0.864790376316918</v>
      </c>
      <c r="AU94" s="13">
        <v>0.757565166504194</v>
      </c>
      <c r="AV94" s="13">
        <v>0.0923289648505735</v>
      </c>
      <c r="AW94" s="13"/>
      <c r="AX94" s="11"/>
      <c r="AY94" s="11"/>
      <c r="AZ94" s="11"/>
      <c r="BA94" s="11"/>
      <c r="BB94" s="12">
        <v>1018189128.64</v>
      </c>
      <c r="BC94" s="12">
        <v>77664017.92</v>
      </c>
      <c r="BD94" s="12">
        <v>82008534.47</v>
      </c>
      <c r="BE94" s="12">
        <v>98107126.34</v>
      </c>
      <c r="BF94" s="12">
        <v>70871831.25</v>
      </c>
      <c r="BG94" s="13">
        <v>0.966384454621962</v>
      </c>
      <c r="BH94" s="13">
        <v>0.848686124213521</v>
      </c>
      <c r="BI94" s="13">
        <v>0.0866928278668607</v>
      </c>
      <c r="BJ94" s="11"/>
      <c r="BK94" s="11"/>
      <c r="BL94" s="11"/>
      <c r="BM94" s="11"/>
      <c r="BN94" s="11"/>
    </row>
    <row r="95" s="1" customFormat="1" spans="1:66">
      <c r="A95" s="9" t="s">
        <v>108</v>
      </c>
      <c r="B95" s="9">
        <v>431952650.62</v>
      </c>
      <c r="C95" s="9">
        <v>35063927.8499999</v>
      </c>
      <c r="D95" s="9">
        <v>37893651.77</v>
      </c>
      <c r="E95" s="9">
        <v>48567847.3499999</v>
      </c>
      <c r="F95" s="9">
        <v>32258988.2799999</v>
      </c>
      <c r="G95" s="10">
        <v>0.478011580275965</v>
      </c>
      <c r="H95" s="10">
        <v>0.3328544579693</v>
      </c>
      <c r="I95" s="10">
        <v>0.0593627662802234</v>
      </c>
      <c r="J95" s="10"/>
      <c r="K95" s="11"/>
      <c r="L95" s="11"/>
      <c r="M95" s="11"/>
      <c r="N95" s="11"/>
      <c r="O95" s="9">
        <v>421841693.02</v>
      </c>
      <c r="P95" s="9">
        <v>34874628.3099999</v>
      </c>
      <c r="Q95" s="9">
        <v>30635792.9599999</v>
      </c>
      <c r="R95" s="9">
        <v>50083379.6600001</v>
      </c>
      <c r="S95" s="9">
        <v>33340952.3799999</v>
      </c>
      <c r="T95" s="10">
        <v>0.478011580275965</v>
      </c>
      <c r="U95" s="10">
        <v>0.3328544579693</v>
      </c>
      <c r="V95" s="10">
        <v>0.0593627662802234</v>
      </c>
      <c r="W95" s="10"/>
      <c r="X95" s="11"/>
      <c r="Y95" s="11"/>
      <c r="Z95" s="11"/>
      <c r="AA95" s="11"/>
      <c r="AB95" s="9">
        <v>406202037</v>
      </c>
      <c r="AC95" s="9">
        <v>34718974.13</v>
      </c>
      <c r="AD95" s="9">
        <v>37469090.52</v>
      </c>
      <c r="AE95" s="9">
        <v>49321427.39</v>
      </c>
      <c r="AF95" s="9">
        <v>31831287.04</v>
      </c>
      <c r="AG95" s="10">
        <v>0.458413415684642</v>
      </c>
      <c r="AH95" s="10">
        <v>0.322692273160508</v>
      </c>
      <c r="AI95" s="10">
        <v>0.0607104628946013</v>
      </c>
      <c r="AJ95" s="10"/>
      <c r="AK95" s="11"/>
      <c r="AL95" s="11"/>
      <c r="AM95" s="11"/>
      <c r="AN95" s="11"/>
      <c r="AO95" s="9">
        <v>400256151.95</v>
      </c>
      <c r="AP95" s="9">
        <v>35166291.27</v>
      </c>
      <c r="AQ95" s="9">
        <v>37906256.23</v>
      </c>
      <c r="AR95" s="9">
        <v>50756288.33</v>
      </c>
      <c r="AS95" s="9">
        <v>30406864.69</v>
      </c>
      <c r="AT95" s="10">
        <v>0.432329705406549</v>
      </c>
      <c r="AU95" s="10">
        <v>0.299537906439346</v>
      </c>
      <c r="AV95" s="10">
        <v>0.0634047572819574</v>
      </c>
      <c r="AW95" s="10"/>
      <c r="AX95" s="11"/>
      <c r="AY95" s="11"/>
      <c r="AZ95" s="11"/>
      <c r="BA95" s="11"/>
      <c r="BB95" s="9">
        <f t="shared" ref="BB95:BF95" si="126">SUM(B95,O95,)</f>
        <v>853794343.64</v>
      </c>
      <c r="BC95" s="9">
        <f t="shared" si="126"/>
        <v>69938556.1599998</v>
      </c>
      <c r="BD95" s="9">
        <f t="shared" si="126"/>
        <v>68529444.7299999</v>
      </c>
      <c r="BE95" s="9">
        <f t="shared" si="126"/>
        <v>98651227.01</v>
      </c>
      <c r="BF95" s="9">
        <f t="shared" si="126"/>
        <v>65599940.6599999</v>
      </c>
      <c r="BG95" s="10">
        <f t="shared" ref="BG95:BI95" si="127">AVERAGE(G95,T95,AT95,AG95)</f>
        <v>0.46169157041078</v>
      </c>
      <c r="BH95" s="10">
        <f t="shared" si="127"/>
        <v>0.321984773884613</v>
      </c>
      <c r="BI95" s="10">
        <f t="shared" si="127"/>
        <v>0.0607101881842514</v>
      </c>
      <c r="BJ95" s="11"/>
      <c r="BK95" s="11"/>
      <c r="BL95" s="11"/>
      <c r="BM95" s="11"/>
      <c r="BN95" s="11"/>
    </row>
    <row r="96" s="1" customFormat="1" spans="1:66">
      <c r="A96" s="9" t="s">
        <v>106</v>
      </c>
      <c r="B96" s="9">
        <v>261569877.22</v>
      </c>
      <c r="C96" s="9">
        <v>20279916.33</v>
      </c>
      <c r="D96" s="9">
        <v>20306329.7</v>
      </c>
      <c r="E96" s="9">
        <v>24401346.84</v>
      </c>
      <c r="F96" s="9">
        <v>18597441.99</v>
      </c>
      <c r="G96" s="10">
        <v>0.937593316842239</v>
      </c>
      <c r="H96" s="10">
        <v>0.820910890412625</v>
      </c>
      <c r="I96" s="10">
        <v>0.0964162824085262</v>
      </c>
      <c r="J96" s="10"/>
      <c r="K96" s="11"/>
      <c r="L96" s="11"/>
      <c r="M96" s="11"/>
      <c r="N96" s="11"/>
      <c r="O96" s="9">
        <v>251586498.62</v>
      </c>
      <c r="P96" s="9">
        <v>20131966.24</v>
      </c>
      <c r="Q96" s="9">
        <v>19021336.11</v>
      </c>
      <c r="R96" s="9">
        <v>25087260.73</v>
      </c>
      <c r="S96" s="9">
        <v>19272705.82</v>
      </c>
      <c r="T96" s="10">
        <v>0.937593316842239</v>
      </c>
      <c r="U96" s="10">
        <v>0.820910890412625</v>
      </c>
      <c r="V96" s="10">
        <v>0.0964162824085262</v>
      </c>
      <c r="W96" s="10"/>
      <c r="X96" s="11"/>
      <c r="Y96" s="11"/>
      <c r="Z96" s="11"/>
      <c r="AA96" s="11"/>
      <c r="AB96" s="9">
        <v>245550516.01</v>
      </c>
      <c r="AC96" s="9">
        <v>19856830.75</v>
      </c>
      <c r="AD96" s="9">
        <v>22219477.93</v>
      </c>
      <c r="AE96" s="9">
        <v>24449976.74</v>
      </c>
      <c r="AF96" s="9">
        <v>18445694.45</v>
      </c>
      <c r="AG96" s="10">
        <v>0.921831293717529</v>
      </c>
      <c r="AH96" s="10">
        <v>0.809881065999489</v>
      </c>
      <c r="AI96" s="10">
        <v>0.0854492144867355</v>
      </c>
      <c r="AJ96" s="10"/>
      <c r="AK96" s="11"/>
      <c r="AL96" s="11"/>
      <c r="AM96" s="11"/>
      <c r="AN96" s="11"/>
      <c r="AO96" s="9">
        <v>243246786.87</v>
      </c>
      <c r="AP96" s="9">
        <v>20308720.41</v>
      </c>
      <c r="AQ96" s="9">
        <v>19552257.37</v>
      </c>
      <c r="AR96" s="9">
        <v>25345598.83</v>
      </c>
      <c r="AS96" s="9">
        <v>18338763.39</v>
      </c>
      <c r="AT96" s="10">
        <v>0.82232991910394</v>
      </c>
      <c r="AU96" s="10">
        <v>0.707604427464584</v>
      </c>
      <c r="AV96" s="10">
        <v>0.0900034081126035</v>
      </c>
      <c r="AW96" s="10"/>
      <c r="AX96" s="11"/>
      <c r="AY96" s="11"/>
      <c r="AZ96" s="11"/>
      <c r="BA96" s="11"/>
      <c r="BB96" s="9">
        <f t="shared" ref="BB96:BF96" si="128">SUM(B96,O96,)</f>
        <v>513156375.84</v>
      </c>
      <c r="BC96" s="9">
        <f t="shared" si="128"/>
        <v>40411882.57</v>
      </c>
      <c r="BD96" s="9">
        <f t="shared" si="128"/>
        <v>39327665.81</v>
      </c>
      <c r="BE96" s="9">
        <f t="shared" si="128"/>
        <v>49488607.57</v>
      </c>
      <c r="BF96" s="9">
        <f t="shared" si="128"/>
        <v>37870147.81</v>
      </c>
      <c r="BG96" s="10">
        <f t="shared" ref="BG96:BI96" si="129">AVERAGE(G96,T96,AT96,AG96)</f>
        <v>0.904836961626486</v>
      </c>
      <c r="BH96" s="10">
        <f t="shared" si="129"/>
        <v>0.789826818572331</v>
      </c>
      <c r="BI96" s="10">
        <f t="shared" si="129"/>
        <v>0.0920712968540979</v>
      </c>
      <c r="BJ96" s="11"/>
      <c r="BK96" s="11"/>
      <c r="BL96" s="11"/>
      <c r="BM96" s="11"/>
      <c r="BN96" s="11"/>
    </row>
    <row r="97" s="1" customFormat="1" spans="1:66">
      <c r="A97" s="9" t="s">
        <v>107</v>
      </c>
      <c r="B97" s="9">
        <v>243622054.77</v>
      </c>
      <c r="C97" s="9">
        <v>19974036.01</v>
      </c>
      <c r="D97" s="9">
        <v>16133620.23</v>
      </c>
      <c r="E97" s="9">
        <v>24937971.74</v>
      </c>
      <c r="F97" s="9">
        <v>18327625.44</v>
      </c>
      <c r="G97" s="10">
        <v>0.912137791811762</v>
      </c>
      <c r="H97" s="10">
        <v>0.754711747776471</v>
      </c>
      <c r="I97" s="10">
        <v>0.101424657175252</v>
      </c>
      <c r="J97" s="10"/>
      <c r="K97" s="11"/>
      <c r="L97" s="11"/>
      <c r="M97" s="11"/>
      <c r="N97" s="11"/>
      <c r="O97" s="9">
        <v>234744559.61</v>
      </c>
      <c r="P97" s="9">
        <v>20107916.04</v>
      </c>
      <c r="Q97" s="9">
        <v>17834445.6</v>
      </c>
      <c r="R97" s="9">
        <v>25768176.97</v>
      </c>
      <c r="S97" s="9">
        <v>18117415.62</v>
      </c>
      <c r="T97" s="10">
        <v>0.912137791811762</v>
      </c>
      <c r="U97" s="10">
        <v>0.754711747776471</v>
      </c>
      <c r="V97" s="10">
        <v>0.101424657175252</v>
      </c>
      <c r="W97" s="10"/>
      <c r="X97" s="11"/>
      <c r="Y97" s="11"/>
      <c r="Z97" s="11"/>
      <c r="AA97" s="11"/>
      <c r="AB97" s="9">
        <v>222837129.16</v>
      </c>
      <c r="AC97" s="9">
        <v>20010146.13</v>
      </c>
      <c r="AD97" s="9">
        <v>21807008.15</v>
      </c>
      <c r="AE97" s="9">
        <v>23528679.03</v>
      </c>
      <c r="AF97" s="9">
        <v>18270932.66</v>
      </c>
      <c r="AG97" s="10">
        <v>0.948915785273713</v>
      </c>
      <c r="AH97" s="10">
        <v>0.80058950323642</v>
      </c>
      <c r="AI97" s="10">
        <v>0.103757501919339</v>
      </c>
      <c r="AJ97" s="10"/>
      <c r="AK97" s="11"/>
      <c r="AL97" s="11"/>
      <c r="AM97" s="11"/>
      <c r="AN97" s="11"/>
      <c r="AO97" s="9">
        <v>228535426.39</v>
      </c>
      <c r="AP97" s="9">
        <v>20068936.3</v>
      </c>
      <c r="AQ97" s="9">
        <v>20045284.01</v>
      </c>
      <c r="AR97" s="9">
        <v>24103261.18</v>
      </c>
      <c r="AS97" s="9">
        <v>17221774.56</v>
      </c>
      <c r="AT97" s="10">
        <v>0.791429830762443</v>
      </c>
      <c r="AU97" s="10">
        <v>0.672530100138283</v>
      </c>
      <c r="AV97" s="10">
        <v>0.103252614454822</v>
      </c>
      <c r="AW97" s="10"/>
      <c r="AX97" s="11"/>
      <c r="AY97" s="11"/>
      <c r="AZ97" s="11"/>
      <c r="BA97" s="11"/>
      <c r="BB97" s="9">
        <f t="shared" ref="BB97:BF97" si="130">SUM(B97,O97,)</f>
        <v>478366614.38</v>
      </c>
      <c r="BC97" s="9">
        <f t="shared" si="130"/>
        <v>40081952.05</v>
      </c>
      <c r="BD97" s="9">
        <f t="shared" si="130"/>
        <v>33968065.83</v>
      </c>
      <c r="BE97" s="9">
        <f t="shared" si="130"/>
        <v>50706148.71</v>
      </c>
      <c r="BF97" s="9">
        <f t="shared" si="130"/>
        <v>36445041.06</v>
      </c>
      <c r="BG97" s="10">
        <f t="shared" ref="BG97:BI97" si="131">AVERAGE(G97,T97,AT97,AG97)</f>
        <v>0.89115529991492</v>
      </c>
      <c r="BH97" s="10">
        <f t="shared" si="131"/>
        <v>0.745635774731911</v>
      </c>
      <c r="BI97" s="10">
        <f t="shared" si="131"/>
        <v>0.102464857681166</v>
      </c>
      <c r="BJ97" s="11"/>
      <c r="BK97" s="11"/>
      <c r="BL97" s="11"/>
      <c r="BM97" s="11"/>
      <c r="BN97" s="11"/>
    </row>
    <row r="98" s="1" customFormat="1" spans="1:66">
      <c r="A98" s="12" t="s">
        <v>109</v>
      </c>
      <c r="B98" s="12">
        <v>937144582.61</v>
      </c>
      <c r="C98" s="12">
        <v>75317880.1899999</v>
      </c>
      <c r="D98" s="12">
        <v>74333601.7</v>
      </c>
      <c r="E98" s="12">
        <v>97907165.9299999</v>
      </c>
      <c r="F98" s="12">
        <v>69184055.7099999</v>
      </c>
      <c r="G98" s="13">
        <v>0.9342418920694</v>
      </c>
      <c r="H98" s="13">
        <v>0.764055848090943</v>
      </c>
      <c r="I98" s="13">
        <v>0.100977317266719</v>
      </c>
      <c r="J98" s="13"/>
      <c r="K98" s="11"/>
      <c r="L98" s="11"/>
      <c r="M98" s="11"/>
      <c r="N98" s="11"/>
      <c r="O98" s="12">
        <v>908172751.25</v>
      </c>
      <c r="P98" s="12">
        <v>75114510.5899999</v>
      </c>
      <c r="Q98" s="12">
        <v>67491574.67</v>
      </c>
      <c r="R98" s="12">
        <v>100938817.36</v>
      </c>
      <c r="S98" s="12">
        <v>70731073.8199999</v>
      </c>
      <c r="T98" s="13">
        <v>0.9342418920694</v>
      </c>
      <c r="U98" s="13">
        <v>0.764055848090943</v>
      </c>
      <c r="V98" s="13">
        <v>0.100977317266719</v>
      </c>
      <c r="W98" s="13"/>
      <c r="X98" s="11"/>
      <c r="Y98" s="11"/>
      <c r="Z98" s="11"/>
      <c r="AA98" s="11"/>
      <c r="AB98" s="12">
        <v>874589682.17</v>
      </c>
      <c r="AC98" s="12">
        <v>74585951.01</v>
      </c>
      <c r="AD98" s="12">
        <v>81495576.6</v>
      </c>
      <c r="AE98" s="12">
        <v>97300083.16</v>
      </c>
      <c r="AF98" s="12">
        <v>68547914.15</v>
      </c>
      <c r="AG98" s="13">
        <v>0.950400784104564</v>
      </c>
      <c r="AH98" s="13">
        <v>0.769337629447496</v>
      </c>
      <c r="AI98" s="13">
        <v>0.103362175694517</v>
      </c>
      <c r="AJ98" s="13"/>
      <c r="AK98" s="11"/>
      <c r="AL98" s="11"/>
      <c r="AM98" s="11"/>
      <c r="AN98" s="11"/>
      <c r="AO98" s="12">
        <v>872038365.21</v>
      </c>
      <c r="AP98" s="12">
        <v>75543947.98</v>
      </c>
      <c r="AQ98" s="12">
        <v>77503797.61</v>
      </c>
      <c r="AR98" s="12">
        <v>100205148.34</v>
      </c>
      <c r="AS98" s="12">
        <v>65967402.64</v>
      </c>
      <c r="AT98" s="13">
        <v>0.793667977215705</v>
      </c>
      <c r="AU98" s="13">
        <v>0.644243108895644</v>
      </c>
      <c r="AV98" s="13">
        <v>0.105203657497296</v>
      </c>
      <c r="AW98" s="13"/>
      <c r="AX98" s="11"/>
      <c r="AY98" s="11"/>
      <c r="AZ98" s="11"/>
      <c r="BA98" s="11"/>
      <c r="BB98" s="12">
        <v>937144582.61</v>
      </c>
      <c r="BC98" s="12">
        <v>75317880.1899999</v>
      </c>
      <c r="BD98" s="12">
        <v>74333601.7</v>
      </c>
      <c r="BE98" s="12">
        <v>97907165.9299999</v>
      </c>
      <c r="BF98" s="12">
        <v>69184055.7099999</v>
      </c>
      <c r="BG98" s="13">
        <v>0.9342418920694</v>
      </c>
      <c r="BH98" s="13">
        <v>0.764055848090943</v>
      </c>
      <c r="BI98" s="13">
        <v>0.100977317266719</v>
      </c>
      <c r="BJ98" s="11"/>
      <c r="BK98" s="11"/>
      <c r="BL98" s="11"/>
      <c r="BM98" s="11"/>
      <c r="BN98" s="11"/>
    </row>
    <row r="99" s="1" customFormat="1" spans="1:66">
      <c r="A99" s="14" t="s">
        <v>110</v>
      </c>
      <c r="B99" s="14">
        <v>1955333711.25</v>
      </c>
      <c r="C99" s="14">
        <v>152981898.11</v>
      </c>
      <c r="D99" s="14">
        <v>156342136.17</v>
      </c>
      <c r="E99" s="14">
        <v>196014292.27</v>
      </c>
      <c r="F99" s="14">
        <v>140055886.96</v>
      </c>
      <c r="G99" s="15">
        <v>0.945045455198508</v>
      </c>
      <c r="H99" s="15">
        <v>0.792209701619963</v>
      </c>
      <c r="I99" s="15">
        <v>0.095134282391303</v>
      </c>
      <c r="J99" s="15"/>
      <c r="K99" s="11"/>
      <c r="L99" s="11"/>
      <c r="M99" s="11"/>
      <c r="N99" s="11"/>
      <c r="O99" s="14">
        <v>1917358719.81</v>
      </c>
      <c r="P99" s="14">
        <v>153932537.93</v>
      </c>
      <c r="Q99" s="14">
        <v>135743799.38</v>
      </c>
      <c r="R99" s="14">
        <v>203522636.86</v>
      </c>
      <c r="S99" s="14">
        <v>145640690.67</v>
      </c>
      <c r="T99" s="15">
        <v>0.945045455198508</v>
      </c>
      <c r="U99" s="15">
        <v>0.792209701619963</v>
      </c>
      <c r="V99" s="15">
        <v>0.095134282391303</v>
      </c>
      <c r="W99" s="15"/>
      <c r="X99" s="11"/>
      <c r="Y99" s="11"/>
      <c r="Z99" s="11"/>
      <c r="AA99" s="11"/>
      <c r="AB99" s="14">
        <v>1873233923.6</v>
      </c>
      <c r="AC99" s="14">
        <v>153746701.85</v>
      </c>
      <c r="AD99" s="14">
        <v>171930691.48</v>
      </c>
      <c r="AE99" s="14">
        <v>199991669.6</v>
      </c>
      <c r="AF99" s="14">
        <v>145215091.81</v>
      </c>
      <c r="AG99" s="15">
        <v>0.963417005441175</v>
      </c>
      <c r="AH99" s="15">
        <v>0.799242399457631</v>
      </c>
      <c r="AI99" s="15">
        <v>0.0978164586036887</v>
      </c>
      <c r="AJ99" s="15"/>
      <c r="AK99" s="11"/>
      <c r="AL99" s="11"/>
      <c r="AM99" s="11"/>
      <c r="AN99" s="11"/>
      <c r="AO99" s="14">
        <v>1878242781.15</v>
      </c>
      <c r="AP99" s="14">
        <v>157099080.08</v>
      </c>
      <c r="AQ99" s="14">
        <v>163769692.5</v>
      </c>
      <c r="AR99" s="14">
        <v>204886965.88</v>
      </c>
      <c r="AS99" s="14">
        <v>140764635.18</v>
      </c>
      <c r="AT99" s="15">
        <v>0.820658753986703</v>
      </c>
      <c r="AU99" s="15">
        <v>0.684310541411593</v>
      </c>
      <c r="AV99" s="15">
        <v>0.0996843751167132</v>
      </c>
      <c r="AW99" s="15"/>
      <c r="AX99" s="11"/>
      <c r="AY99" s="11"/>
      <c r="AZ99" s="11"/>
      <c r="BA99" s="11"/>
      <c r="BB99" s="14">
        <v>1955333711.25</v>
      </c>
      <c r="BC99" s="14">
        <v>152981898.11</v>
      </c>
      <c r="BD99" s="14">
        <v>156342136.17</v>
      </c>
      <c r="BE99" s="14">
        <v>196014292.27</v>
      </c>
      <c r="BF99" s="14">
        <v>140055886.96</v>
      </c>
      <c r="BG99" s="15">
        <v>0.945045455198508</v>
      </c>
      <c r="BH99" s="15">
        <v>0.792209701619963</v>
      </c>
      <c r="BI99" s="15">
        <v>0.095134282391303</v>
      </c>
      <c r="BJ99" s="11"/>
      <c r="BK99" s="11"/>
      <c r="BL99" s="11"/>
      <c r="BM99" s="11"/>
      <c r="BN99" s="11"/>
    </row>
    <row r="100" s="1" customFormat="1" spans="1:66">
      <c r="A100" s="9" t="s">
        <v>112</v>
      </c>
      <c r="B100" s="9">
        <v>809381413.620001</v>
      </c>
      <c r="C100" s="9">
        <v>44757159.6</v>
      </c>
      <c r="D100" s="9">
        <v>46984725.7099999</v>
      </c>
      <c r="E100" s="9">
        <v>56115206.96</v>
      </c>
      <c r="F100" s="9">
        <v>41292802.23</v>
      </c>
      <c r="G100" s="10">
        <v>0.939379568928071</v>
      </c>
      <c r="H100" s="10">
        <v>0.669876066080209</v>
      </c>
      <c r="I100" s="10">
        <v>0.0773281425423551</v>
      </c>
      <c r="J100" s="10"/>
      <c r="K100" s="11"/>
      <c r="L100" s="11"/>
      <c r="M100" s="11"/>
      <c r="N100" s="11"/>
      <c r="O100" s="9">
        <v>842364756.91</v>
      </c>
      <c r="P100" s="9">
        <v>46061366.47</v>
      </c>
      <c r="Q100" s="9">
        <v>40038910.8</v>
      </c>
      <c r="R100" s="9">
        <v>59184262.21</v>
      </c>
      <c r="S100" s="9">
        <v>43118416.47</v>
      </c>
      <c r="T100" s="10">
        <v>0.939379568928071</v>
      </c>
      <c r="U100" s="10">
        <v>0.669876066080209</v>
      </c>
      <c r="V100" s="10">
        <v>0.0773281425423551</v>
      </c>
      <c r="W100" s="10"/>
      <c r="X100" s="11"/>
      <c r="Y100" s="11"/>
      <c r="Z100" s="11"/>
      <c r="AA100" s="11"/>
      <c r="AB100" s="9">
        <v>849321538.65</v>
      </c>
      <c r="AC100" s="9">
        <v>46710261.27</v>
      </c>
      <c r="AD100" s="9">
        <v>105073974.22</v>
      </c>
      <c r="AE100" s="9">
        <v>61139366.73</v>
      </c>
      <c r="AF100" s="9">
        <v>43635709.94</v>
      </c>
      <c r="AG100" s="10">
        <v>0.888041877723577</v>
      </c>
      <c r="AH100" s="10">
        <v>0.62977458889112</v>
      </c>
      <c r="AI100" s="10">
        <v>0.0796276367714964</v>
      </c>
      <c r="AJ100" s="10"/>
      <c r="AK100" s="11"/>
      <c r="AL100" s="11"/>
      <c r="AM100" s="11"/>
      <c r="AN100" s="11"/>
      <c r="AO100" s="9">
        <v>806332864.06</v>
      </c>
      <c r="AP100" s="9">
        <v>45668976.66</v>
      </c>
      <c r="AQ100" s="9">
        <v>48761204.81</v>
      </c>
      <c r="AR100" s="9">
        <v>61638776.01</v>
      </c>
      <c r="AS100" s="9">
        <v>41577854.2</v>
      </c>
      <c r="AT100" s="10">
        <v>0.872939048030533</v>
      </c>
      <c r="AU100" s="10">
        <v>0.583848597145202</v>
      </c>
      <c r="AV100" s="10">
        <v>0.0860303084317002</v>
      </c>
      <c r="AW100" s="10"/>
      <c r="AX100" s="11"/>
      <c r="AY100" s="11"/>
      <c r="AZ100" s="11"/>
      <c r="BA100" s="11"/>
      <c r="BB100" s="9">
        <f t="shared" ref="BB100:BF100" si="132">SUM(B100,O100,)</f>
        <v>1651746170.53</v>
      </c>
      <c r="BC100" s="9">
        <f t="shared" si="132"/>
        <v>90818526.07</v>
      </c>
      <c r="BD100" s="9">
        <f t="shared" si="132"/>
        <v>87023636.5099999</v>
      </c>
      <c r="BE100" s="9">
        <f t="shared" si="132"/>
        <v>115299469.17</v>
      </c>
      <c r="BF100" s="9">
        <f t="shared" si="132"/>
        <v>84411218.7</v>
      </c>
      <c r="BG100" s="10">
        <f t="shared" ref="BG100:BI100" si="133">AVERAGE(G100,T100,AT100,AG100)</f>
        <v>0.909935015902563</v>
      </c>
      <c r="BH100" s="10">
        <f t="shared" si="133"/>
        <v>0.638343829549185</v>
      </c>
      <c r="BI100" s="10">
        <f t="shared" si="133"/>
        <v>0.0800785575719767</v>
      </c>
      <c r="BJ100" s="11"/>
      <c r="BK100" s="11"/>
      <c r="BL100" s="11"/>
      <c r="BM100" s="11"/>
      <c r="BN100" s="11"/>
    </row>
    <row r="101" s="1" customFormat="1" spans="1:66">
      <c r="A101" s="9" t="s">
        <v>111</v>
      </c>
      <c r="B101" s="9">
        <v>310070168.38</v>
      </c>
      <c r="C101" s="9">
        <v>18552572.27</v>
      </c>
      <c r="D101" s="9">
        <v>19295573.95</v>
      </c>
      <c r="E101" s="9">
        <v>22249458.5</v>
      </c>
      <c r="F101" s="9">
        <v>17777610.33</v>
      </c>
      <c r="G101" s="10">
        <v>1.40231021643387</v>
      </c>
      <c r="H101" s="10">
        <v>0.897240005007101</v>
      </c>
      <c r="I101" s="10">
        <v>0.0843846628063255</v>
      </c>
      <c r="J101" s="10"/>
      <c r="K101" s="11"/>
      <c r="L101" s="11"/>
      <c r="M101" s="11"/>
      <c r="N101" s="11"/>
      <c r="O101" s="9">
        <v>306153781.09</v>
      </c>
      <c r="P101" s="9">
        <v>18925966.45</v>
      </c>
      <c r="Q101" s="9">
        <v>18155343.58</v>
      </c>
      <c r="R101" s="9">
        <v>22828114.79</v>
      </c>
      <c r="S101" s="9">
        <v>18471129.34</v>
      </c>
      <c r="T101" s="10">
        <v>1.40231021643387</v>
      </c>
      <c r="U101" s="10">
        <v>0.897240005007101</v>
      </c>
      <c r="V101" s="10">
        <v>0.0843846628063255</v>
      </c>
      <c r="W101" s="10"/>
      <c r="X101" s="11"/>
      <c r="Y101" s="11"/>
      <c r="Z101" s="11"/>
      <c r="AA101" s="11"/>
      <c r="AB101" s="9">
        <v>320528936.78</v>
      </c>
      <c r="AC101" s="9">
        <v>19330226.77</v>
      </c>
      <c r="AD101" s="9">
        <v>23724649.27</v>
      </c>
      <c r="AE101" s="9">
        <v>23893341.49</v>
      </c>
      <c r="AF101" s="9">
        <v>18933917.09</v>
      </c>
      <c r="AG101" s="10">
        <v>0.989265904830753</v>
      </c>
      <c r="AH101" s="10">
        <v>0.892296169219531</v>
      </c>
      <c r="AI101" s="10">
        <v>0.0656549365038735</v>
      </c>
      <c r="AJ101" s="10"/>
      <c r="AK101" s="11"/>
      <c r="AL101" s="11"/>
      <c r="AM101" s="11"/>
      <c r="AN101" s="11"/>
      <c r="AO101" s="9">
        <v>324103336.62</v>
      </c>
      <c r="AP101" s="9">
        <v>19924158.5</v>
      </c>
      <c r="AQ101" s="9">
        <v>21576193.07</v>
      </c>
      <c r="AR101" s="9">
        <v>23446677.84</v>
      </c>
      <c r="AS101" s="9">
        <v>18403930.29</v>
      </c>
      <c r="AT101" s="10">
        <v>0.901881578873094</v>
      </c>
      <c r="AU101" s="10">
        <v>0.829659085510997</v>
      </c>
      <c r="AV101" s="10">
        <v>0.065774539605396</v>
      </c>
      <c r="AW101" s="10"/>
      <c r="AX101" s="11"/>
      <c r="AY101" s="11"/>
      <c r="AZ101" s="11"/>
      <c r="BA101" s="11"/>
      <c r="BB101" s="9">
        <f t="shared" ref="BB101:BF101" si="134">SUM(B101,O101,)</f>
        <v>616223949.47</v>
      </c>
      <c r="BC101" s="9">
        <f t="shared" si="134"/>
        <v>37478538.72</v>
      </c>
      <c r="BD101" s="9">
        <f t="shared" si="134"/>
        <v>37450917.53</v>
      </c>
      <c r="BE101" s="9">
        <f t="shared" si="134"/>
        <v>45077573.29</v>
      </c>
      <c r="BF101" s="9">
        <f t="shared" si="134"/>
        <v>36248739.67</v>
      </c>
      <c r="BG101" s="10">
        <f t="shared" ref="BG101:BI101" si="135">AVERAGE(G101,T101,AT101,AG101)</f>
        <v>1.1739419791429</v>
      </c>
      <c r="BH101" s="10">
        <f t="shared" si="135"/>
        <v>0.879108816186182</v>
      </c>
      <c r="BI101" s="10">
        <f t="shared" si="135"/>
        <v>0.0750497004304801</v>
      </c>
      <c r="BJ101" s="11"/>
      <c r="BK101" s="11"/>
      <c r="BL101" s="11"/>
      <c r="BM101" s="11"/>
      <c r="BN101" s="11"/>
    </row>
    <row r="102" s="1" customFormat="1" spans="1:66">
      <c r="A102" s="9" t="s">
        <v>214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10">
        <v>0</v>
      </c>
      <c r="H102" s="10">
        <v>0</v>
      </c>
      <c r="I102" s="10">
        <v>0</v>
      </c>
      <c r="J102" s="10"/>
      <c r="K102" s="11"/>
      <c r="L102" s="11"/>
      <c r="M102" s="11"/>
      <c r="N102" s="11"/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10">
        <v>0</v>
      </c>
      <c r="U102" s="10">
        <v>0</v>
      </c>
      <c r="V102" s="10">
        <v>0</v>
      </c>
      <c r="W102" s="10"/>
      <c r="X102" s="11"/>
      <c r="Y102" s="11"/>
      <c r="Z102" s="11"/>
      <c r="AA102" s="11"/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10">
        <v>0</v>
      </c>
      <c r="AH102" s="10">
        <v>0</v>
      </c>
      <c r="AI102" s="10">
        <v>0</v>
      </c>
      <c r="AJ102" s="10"/>
      <c r="AK102" s="11"/>
      <c r="AL102" s="11"/>
      <c r="AM102" s="11"/>
      <c r="AN102" s="11"/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10">
        <v>0</v>
      </c>
      <c r="AU102" s="10">
        <v>0</v>
      </c>
      <c r="AV102" s="10">
        <v>0</v>
      </c>
      <c r="AW102" s="10"/>
      <c r="AX102" s="11"/>
      <c r="AY102" s="11"/>
      <c r="AZ102" s="11"/>
      <c r="BA102" s="11"/>
      <c r="BB102" s="9">
        <f t="shared" ref="BB102:BF102" si="136">SUM(B102,O102,)</f>
        <v>0</v>
      </c>
      <c r="BC102" s="9">
        <f t="shared" si="136"/>
        <v>0</v>
      </c>
      <c r="BD102" s="9">
        <f t="shared" si="136"/>
        <v>0</v>
      </c>
      <c r="BE102" s="9">
        <f t="shared" si="136"/>
        <v>0</v>
      </c>
      <c r="BF102" s="9">
        <f t="shared" si="136"/>
        <v>0</v>
      </c>
      <c r="BG102" s="10">
        <f t="shared" ref="BG102:BI102" si="137">AVERAGE(G102,T102,AT102,AG102)</f>
        <v>0</v>
      </c>
      <c r="BH102" s="10">
        <f t="shared" si="137"/>
        <v>0</v>
      </c>
      <c r="BI102" s="10">
        <f t="shared" si="137"/>
        <v>0</v>
      </c>
      <c r="BJ102" s="11"/>
      <c r="BK102" s="11"/>
      <c r="BL102" s="11"/>
      <c r="BM102" s="11"/>
      <c r="BN102" s="11"/>
    </row>
    <row r="103" s="1" customFormat="1" spans="1:66">
      <c r="A103" s="9" t="s">
        <v>113</v>
      </c>
      <c r="B103" s="9">
        <v>398116452.46</v>
      </c>
      <c r="C103" s="9">
        <v>27466498.94</v>
      </c>
      <c r="D103" s="9">
        <v>31203060.69</v>
      </c>
      <c r="E103" s="9">
        <v>34056905.3</v>
      </c>
      <c r="F103" s="9">
        <v>25953600.23</v>
      </c>
      <c r="G103" s="10">
        <v>1.00499770170025</v>
      </c>
      <c r="H103" s="10">
        <v>0.798150120916536</v>
      </c>
      <c r="I103" s="10">
        <v>0.0782390739169886</v>
      </c>
      <c r="J103" s="10"/>
      <c r="K103" s="11"/>
      <c r="L103" s="11"/>
      <c r="M103" s="11"/>
      <c r="N103" s="11"/>
      <c r="O103" s="9">
        <v>401664694.31</v>
      </c>
      <c r="P103" s="9">
        <v>27579088.59</v>
      </c>
      <c r="Q103" s="9">
        <v>25220970.86</v>
      </c>
      <c r="R103" s="9">
        <v>35098684.1</v>
      </c>
      <c r="S103" s="9">
        <v>27099406.62</v>
      </c>
      <c r="T103" s="10">
        <v>1.00499770170025</v>
      </c>
      <c r="U103" s="10">
        <v>0.798150120916536</v>
      </c>
      <c r="V103" s="10">
        <v>0.0782390739169886</v>
      </c>
      <c r="W103" s="10"/>
      <c r="X103" s="11"/>
      <c r="Y103" s="11"/>
      <c r="Z103" s="11"/>
      <c r="AA103" s="11"/>
      <c r="AB103" s="9">
        <v>417820495.15</v>
      </c>
      <c r="AC103" s="9">
        <v>28366618.2</v>
      </c>
      <c r="AD103" s="9">
        <v>34886565.95</v>
      </c>
      <c r="AE103" s="9">
        <v>35049187.14</v>
      </c>
      <c r="AF103" s="9">
        <v>28029837.51</v>
      </c>
      <c r="AG103" s="10">
        <v>1.04779553852645</v>
      </c>
      <c r="AH103" s="10">
        <v>0.859742887276592</v>
      </c>
      <c r="AI103" s="10">
        <v>0.076699959861599</v>
      </c>
      <c r="AJ103" s="10"/>
      <c r="AK103" s="11"/>
      <c r="AL103" s="11"/>
      <c r="AM103" s="11"/>
      <c r="AN103" s="11"/>
      <c r="AO103" s="9">
        <v>437085919.3</v>
      </c>
      <c r="AP103" s="9">
        <v>29737679.91</v>
      </c>
      <c r="AQ103" s="9">
        <v>34949307.09</v>
      </c>
      <c r="AR103" s="9">
        <v>36328619.09</v>
      </c>
      <c r="AS103" s="9">
        <v>28166209.67</v>
      </c>
      <c r="AT103" s="10">
        <v>0.967402767846514</v>
      </c>
      <c r="AU103" s="10">
        <v>0.845037073901795</v>
      </c>
      <c r="AV103" s="10">
        <v>0.072156929934437</v>
      </c>
      <c r="AW103" s="10"/>
      <c r="AX103" s="11"/>
      <c r="AY103" s="11"/>
      <c r="AZ103" s="11"/>
      <c r="BA103" s="11"/>
      <c r="BB103" s="9">
        <f t="shared" ref="BB103:BF103" si="138">SUM(B103,O103,)</f>
        <v>799781146.77</v>
      </c>
      <c r="BC103" s="9">
        <f t="shared" si="138"/>
        <v>55045587.53</v>
      </c>
      <c r="BD103" s="9">
        <f t="shared" si="138"/>
        <v>56424031.55</v>
      </c>
      <c r="BE103" s="9">
        <f t="shared" si="138"/>
        <v>69155589.4</v>
      </c>
      <c r="BF103" s="9">
        <f t="shared" si="138"/>
        <v>53053006.85</v>
      </c>
      <c r="BG103" s="10">
        <f t="shared" ref="BG103:BI103" si="139">AVERAGE(G103,T103,AT103,AG103)</f>
        <v>1.00629842744337</v>
      </c>
      <c r="BH103" s="10">
        <f t="shared" si="139"/>
        <v>0.825270050752865</v>
      </c>
      <c r="BI103" s="10">
        <f t="shared" si="139"/>
        <v>0.0763337594075033</v>
      </c>
      <c r="BJ103" s="11"/>
      <c r="BK103" s="11"/>
      <c r="BL103" s="11"/>
      <c r="BM103" s="11"/>
      <c r="BN103" s="11"/>
    </row>
    <row r="104" s="1" customFormat="1" spans="1:66">
      <c r="A104" s="12" t="s">
        <v>115</v>
      </c>
      <c r="B104" s="12">
        <v>1517568034.46</v>
      </c>
      <c r="C104" s="12">
        <v>90776230.81</v>
      </c>
      <c r="D104" s="12">
        <v>97483360.3499999</v>
      </c>
      <c r="E104" s="12">
        <v>112421570.76</v>
      </c>
      <c r="F104" s="12">
        <v>85024012.79</v>
      </c>
      <c r="G104" s="13">
        <v>1.01808190135622</v>
      </c>
      <c r="H104" s="13">
        <v>0.731283993489373</v>
      </c>
      <c r="I104" s="13">
        <v>0.0792161871664883</v>
      </c>
      <c r="J104" s="13"/>
      <c r="K104" s="11"/>
      <c r="L104" s="11"/>
      <c r="M104" s="11"/>
      <c r="N104" s="11"/>
      <c r="O104" s="12">
        <v>1550183232.31</v>
      </c>
      <c r="P104" s="12">
        <v>92566421.51</v>
      </c>
      <c r="Q104" s="12">
        <v>83415225.24</v>
      </c>
      <c r="R104" s="12">
        <v>117111061.1</v>
      </c>
      <c r="S104" s="12">
        <v>88688952.43</v>
      </c>
      <c r="T104" s="13">
        <v>1.01808190135622</v>
      </c>
      <c r="U104" s="13">
        <v>0.731283993489373</v>
      </c>
      <c r="V104" s="13">
        <v>0.0792161871664883</v>
      </c>
      <c r="W104" s="13"/>
      <c r="X104" s="11"/>
      <c r="Y104" s="11"/>
      <c r="Z104" s="11"/>
      <c r="AA104" s="11"/>
      <c r="AB104" s="12">
        <v>1587670970.58</v>
      </c>
      <c r="AC104" s="12">
        <v>94407106.24</v>
      </c>
      <c r="AD104" s="12">
        <v>163685189.44</v>
      </c>
      <c r="AE104" s="12">
        <v>120081895.36</v>
      </c>
      <c r="AF104" s="12">
        <v>90599464.54</v>
      </c>
      <c r="AG104" s="13">
        <v>0.937820026814592</v>
      </c>
      <c r="AH104" s="13">
        <v>0.700423367151566</v>
      </c>
      <c r="AI104" s="13">
        <v>0.0778150763622133</v>
      </c>
      <c r="AJ104" s="13"/>
      <c r="AK104" s="11"/>
      <c r="AL104" s="11"/>
      <c r="AM104" s="11"/>
      <c r="AN104" s="11"/>
      <c r="AO104" s="12">
        <v>1567522119.98</v>
      </c>
      <c r="AP104" s="12">
        <v>95330815.07</v>
      </c>
      <c r="AQ104" s="12">
        <v>105286704.97</v>
      </c>
      <c r="AR104" s="12">
        <v>121414072.94</v>
      </c>
      <c r="AS104" s="12">
        <v>88147994.16</v>
      </c>
      <c r="AT104" s="13">
        <v>0.899159065744669</v>
      </c>
      <c r="AU104" s="13">
        <v>0.656109775715772</v>
      </c>
      <c r="AV104" s="13">
        <v>0.0806431541072659</v>
      </c>
      <c r="AW104" s="13"/>
      <c r="AX104" s="11"/>
      <c r="AY104" s="11"/>
      <c r="AZ104" s="11"/>
      <c r="BA104" s="11"/>
      <c r="BB104" s="12">
        <v>1517568034.46</v>
      </c>
      <c r="BC104" s="12">
        <v>90776230.81</v>
      </c>
      <c r="BD104" s="12">
        <v>97483360.3499999</v>
      </c>
      <c r="BE104" s="12">
        <v>112421570.76</v>
      </c>
      <c r="BF104" s="12">
        <v>85024012.79</v>
      </c>
      <c r="BG104" s="13">
        <v>1.01808190135622</v>
      </c>
      <c r="BH104" s="13">
        <v>0.731283993489373</v>
      </c>
      <c r="BI104" s="13">
        <v>0.0792161871664883</v>
      </c>
      <c r="BJ104" s="11"/>
      <c r="BK104" s="11"/>
      <c r="BL104" s="11"/>
      <c r="BM104" s="11"/>
      <c r="BN104" s="11"/>
    </row>
    <row r="105" s="1" customFormat="1" spans="1:66">
      <c r="A105" s="9" t="s">
        <v>118</v>
      </c>
      <c r="B105" s="9">
        <v>477380444.13</v>
      </c>
      <c r="C105" s="9">
        <v>20513867.56</v>
      </c>
      <c r="D105" s="9">
        <v>19750382.13</v>
      </c>
      <c r="E105" s="9">
        <v>26818787.08</v>
      </c>
      <c r="F105" s="9">
        <v>19364080.93</v>
      </c>
      <c r="G105" s="10">
        <v>0.960075556045677</v>
      </c>
      <c r="H105" s="10">
        <v>0.809296342000064</v>
      </c>
      <c r="I105" s="10">
        <v>0.0468111758456365</v>
      </c>
      <c r="J105" s="10"/>
      <c r="K105" s="11"/>
      <c r="L105" s="11"/>
      <c r="M105" s="11"/>
      <c r="N105" s="11"/>
      <c r="O105" s="9">
        <v>473765297.87</v>
      </c>
      <c r="P105" s="9">
        <v>20760488.81</v>
      </c>
      <c r="Q105" s="9">
        <v>23648350.78</v>
      </c>
      <c r="R105" s="9">
        <v>27715161.13</v>
      </c>
      <c r="S105" s="9">
        <v>19791644.43</v>
      </c>
      <c r="T105" s="10">
        <v>0.960075556045677</v>
      </c>
      <c r="U105" s="10">
        <v>0.809296342000064</v>
      </c>
      <c r="V105" s="10">
        <v>0.0468111758456365</v>
      </c>
      <c r="W105" s="10"/>
      <c r="X105" s="11"/>
      <c r="Y105" s="11"/>
      <c r="Z105" s="11"/>
      <c r="AA105" s="11"/>
      <c r="AB105" s="9">
        <v>492577031.88</v>
      </c>
      <c r="AC105" s="9">
        <v>21959160.06</v>
      </c>
      <c r="AD105" s="9">
        <v>29000991</v>
      </c>
      <c r="AE105" s="9">
        <v>29250930.5</v>
      </c>
      <c r="AF105" s="9">
        <v>21014836.98</v>
      </c>
      <c r="AG105" s="10">
        <v>1.00762241362128</v>
      </c>
      <c r="AH105" s="10">
        <v>0.844023814164552</v>
      </c>
      <c r="AI105" s="10">
        <v>0.0474608265800097</v>
      </c>
      <c r="AJ105" s="10"/>
      <c r="AK105" s="11"/>
      <c r="AL105" s="11"/>
      <c r="AM105" s="11"/>
      <c r="AN105" s="11"/>
      <c r="AO105" s="9">
        <v>498838772.17</v>
      </c>
      <c r="AP105" s="9">
        <v>24014331.22</v>
      </c>
      <c r="AQ105" s="9">
        <v>46921890.85</v>
      </c>
      <c r="AR105" s="9">
        <v>31374200.64</v>
      </c>
      <c r="AS105" s="9">
        <v>22564051.03</v>
      </c>
      <c r="AT105" s="10">
        <v>0.966055295327781</v>
      </c>
      <c r="AU105" s="10">
        <v>0.846632035449977</v>
      </c>
      <c r="AV105" s="10">
        <v>0.0490197155558755</v>
      </c>
      <c r="AW105" s="10"/>
      <c r="AX105" s="11"/>
      <c r="AY105" s="11"/>
      <c r="AZ105" s="11"/>
      <c r="BA105" s="11"/>
      <c r="BB105" s="9">
        <f t="shared" ref="BB105:BF105" si="140">SUM(B105,O105,)</f>
        <v>951145742</v>
      </c>
      <c r="BC105" s="9">
        <f t="shared" si="140"/>
        <v>41274356.37</v>
      </c>
      <c r="BD105" s="9">
        <f t="shared" si="140"/>
        <v>43398732.91</v>
      </c>
      <c r="BE105" s="9">
        <f t="shared" si="140"/>
        <v>54533948.21</v>
      </c>
      <c r="BF105" s="9">
        <f t="shared" si="140"/>
        <v>39155725.36</v>
      </c>
      <c r="BG105" s="10">
        <f t="shared" ref="BG105:BI105" si="141">AVERAGE(G105,T105,AT105,AG105)</f>
        <v>0.973457205260104</v>
      </c>
      <c r="BH105" s="10">
        <f t="shared" si="141"/>
        <v>0.827312133403664</v>
      </c>
      <c r="BI105" s="10">
        <f t="shared" si="141"/>
        <v>0.0475257234567896</v>
      </c>
      <c r="BJ105" s="11"/>
      <c r="BK105" s="11"/>
      <c r="BL105" s="11"/>
      <c r="BM105" s="11"/>
      <c r="BN105" s="11"/>
    </row>
    <row r="106" s="1" customFormat="1" spans="1:66">
      <c r="A106" s="9" t="s">
        <v>117</v>
      </c>
      <c r="B106" s="9">
        <v>381818085.42</v>
      </c>
      <c r="C106" s="9">
        <v>20467829.99</v>
      </c>
      <c r="D106" s="9">
        <v>20353713.08</v>
      </c>
      <c r="E106" s="9">
        <v>26997394.07</v>
      </c>
      <c r="F106" s="9">
        <v>20929417.49</v>
      </c>
      <c r="G106" s="10">
        <v>0.946024013844256</v>
      </c>
      <c r="H106" s="10">
        <v>0.762758432527295</v>
      </c>
      <c r="I106" s="10">
        <v>0.0582930754247734</v>
      </c>
      <c r="J106" s="10"/>
      <c r="K106" s="11"/>
      <c r="L106" s="11"/>
      <c r="M106" s="11"/>
      <c r="N106" s="11"/>
      <c r="O106" s="9">
        <v>387011346.01</v>
      </c>
      <c r="P106" s="9">
        <v>20858036.13</v>
      </c>
      <c r="Q106" s="9">
        <v>19149340.81</v>
      </c>
      <c r="R106" s="9">
        <v>26739177.89</v>
      </c>
      <c r="S106" s="9">
        <v>19288898.77</v>
      </c>
      <c r="T106" s="10">
        <v>0.946024013844256</v>
      </c>
      <c r="U106" s="10">
        <v>0.762758432527295</v>
      </c>
      <c r="V106" s="10">
        <v>0.0582930754247734</v>
      </c>
      <c r="W106" s="10"/>
      <c r="X106" s="11"/>
      <c r="Y106" s="11"/>
      <c r="Z106" s="11"/>
      <c r="AA106" s="11"/>
      <c r="AB106" s="9">
        <v>394399632.48</v>
      </c>
      <c r="AC106" s="9">
        <v>21474372.71</v>
      </c>
      <c r="AD106" s="9">
        <v>30298003.44</v>
      </c>
      <c r="AE106" s="9">
        <v>28628500.25</v>
      </c>
      <c r="AF106" s="9">
        <v>21151384.86</v>
      </c>
      <c r="AG106" s="10">
        <v>1.04004474281934</v>
      </c>
      <c r="AH106" s="10">
        <v>0.814294219248663</v>
      </c>
      <c r="AI106" s="10">
        <v>0.0610240053082393</v>
      </c>
      <c r="AJ106" s="10"/>
      <c r="AK106" s="11"/>
      <c r="AL106" s="11"/>
      <c r="AM106" s="11"/>
      <c r="AN106" s="11"/>
      <c r="AO106" s="9">
        <v>397654285.92</v>
      </c>
      <c r="AP106" s="9">
        <v>21727294.44</v>
      </c>
      <c r="AQ106" s="9">
        <v>25626097.16</v>
      </c>
      <c r="AR106" s="9">
        <v>28983141.75</v>
      </c>
      <c r="AS106" s="9">
        <v>20567162.18</v>
      </c>
      <c r="AT106" s="10">
        <v>0.989191334128064</v>
      </c>
      <c r="AU106" s="10">
        <v>0.808675423970625</v>
      </c>
      <c r="AV106" s="10">
        <v>0.0583908990795814</v>
      </c>
      <c r="AW106" s="10"/>
      <c r="AX106" s="11"/>
      <c r="AY106" s="11"/>
      <c r="AZ106" s="11"/>
      <c r="BA106" s="11"/>
      <c r="BB106" s="9">
        <f t="shared" ref="BB106:BF106" si="142">SUM(B106,O106,)</f>
        <v>768829431.43</v>
      </c>
      <c r="BC106" s="9">
        <f t="shared" si="142"/>
        <v>41325866.12</v>
      </c>
      <c r="BD106" s="9">
        <f t="shared" si="142"/>
        <v>39503053.89</v>
      </c>
      <c r="BE106" s="9">
        <f t="shared" si="142"/>
        <v>53736571.96</v>
      </c>
      <c r="BF106" s="9">
        <f t="shared" si="142"/>
        <v>40218316.26</v>
      </c>
      <c r="BG106" s="10">
        <f t="shared" ref="BG106:BI106" si="143">AVERAGE(G106,T106,AT106,AG106)</f>
        <v>0.980321026158979</v>
      </c>
      <c r="BH106" s="10">
        <f t="shared" si="143"/>
        <v>0.787121627068469</v>
      </c>
      <c r="BI106" s="10">
        <f t="shared" si="143"/>
        <v>0.0590002638093419</v>
      </c>
      <c r="BJ106" s="11"/>
      <c r="BK106" s="11"/>
      <c r="BL106" s="11"/>
      <c r="BM106" s="11"/>
      <c r="BN106" s="11"/>
    </row>
    <row r="107" s="1" customFormat="1" spans="1:66">
      <c r="A107" s="9" t="s">
        <v>116</v>
      </c>
      <c r="B107" s="9">
        <v>254651400</v>
      </c>
      <c r="C107" s="9">
        <v>17385977.73</v>
      </c>
      <c r="D107" s="9">
        <v>15598315.47</v>
      </c>
      <c r="E107" s="9">
        <v>23503176.46</v>
      </c>
      <c r="F107" s="9">
        <v>14667976.69</v>
      </c>
      <c r="G107" s="10">
        <v>0.920545317758399</v>
      </c>
      <c r="H107" s="10">
        <v>0.679434534807708</v>
      </c>
      <c r="I107" s="10">
        <v>0.090917874221355</v>
      </c>
      <c r="J107" s="10"/>
      <c r="K107" s="11"/>
      <c r="L107" s="11"/>
      <c r="M107" s="11"/>
      <c r="N107" s="11"/>
      <c r="O107" s="9">
        <v>248020094.28</v>
      </c>
      <c r="P107" s="9">
        <v>17442988.1</v>
      </c>
      <c r="Q107" s="9">
        <v>14363797.81</v>
      </c>
      <c r="R107" s="9">
        <v>25598646.37</v>
      </c>
      <c r="S107" s="9">
        <v>16671508.17</v>
      </c>
      <c r="T107" s="10">
        <v>0.920545317758399</v>
      </c>
      <c r="U107" s="10">
        <v>0.679434534807708</v>
      </c>
      <c r="V107" s="10">
        <v>0.090917874221355</v>
      </c>
      <c r="W107" s="10"/>
      <c r="X107" s="11"/>
      <c r="Y107" s="11"/>
      <c r="Z107" s="11"/>
      <c r="AA107" s="11"/>
      <c r="AB107" s="9">
        <v>241041016.95</v>
      </c>
      <c r="AC107" s="9">
        <v>17440217.77</v>
      </c>
      <c r="AD107" s="9">
        <v>17062721.67</v>
      </c>
      <c r="AE107" s="9">
        <v>25684871.7</v>
      </c>
      <c r="AF107" s="9">
        <v>15306417.13</v>
      </c>
      <c r="AG107" s="10">
        <v>0.934558444205993</v>
      </c>
      <c r="AH107" s="10">
        <v>0.661764689182662</v>
      </c>
      <c r="AI107" s="10">
        <v>0.0979192591858602</v>
      </c>
      <c r="AJ107" s="10"/>
      <c r="AK107" s="11"/>
      <c r="AL107" s="11"/>
      <c r="AM107" s="11"/>
      <c r="AN107" s="11"/>
      <c r="AO107" s="9">
        <v>234272722.74</v>
      </c>
      <c r="AP107" s="9">
        <v>16619213.09</v>
      </c>
      <c r="AQ107" s="9">
        <v>17932728.29</v>
      </c>
      <c r="AR107" s="9">
        <v>26591218.89</v>
      </c>
      <c r="AS107" s="9">
        <v>15187534.38</v>
      </c>
      <c r="AT107" s="10">
        <v>0.953875543324252</v>
      </c>
      <c r="AU107" s="10">
        <v>0.648844974522009</v>
      </c>
      <c r="AV107" s="10">
        <v>0.104004470349882</v>
      </c>
      <c r="AW107" s="10"/>
      <c r="AX107" s="11"/>
      <c r="AY107" s="11"/>
      <c r="AZ107" s="11"/>
      <c r="BA107" s="11"/>
      <c r="BB107" s="9">
        <f t="shared" ref="BB107:BF107" si="144">SUM(B107,O107,)</f>
        <v>502671494.28</v>
      </c>
      <c r="BC107" s="9">
        <f t="shared" si="144"/>
        <v>34828965.83</v>
      </c>
      <c r="BD107" s="9">
        <f t="shared" si="144"/>
        <v>29962113.28</v>
      </c>
      <c r="BE107" s="9">
        <f t="shared" si="144"/>
        <v>49101822.83</v>
      </c>
      <c r="BF107" s="9">
        <f t="shared" si="144"/>
        <v>31339484.86</v>
      </c>
      <c r="BG107" s="10">
        <f t="shared" ref="BG107:BI107" si="145">AVERAGE(G107,T107,AT107,AG107)</f>
        <v>0.932381155761761</v>
      </c>
      <c r="BH107" s="10">
        <f t="shared" si="145"/>
        <v>0.667369683330022</v>
      </c>
      <c r="BI107" s="10">
        <f t="shared" si="145"/>
        <v>0.095939869494613</v>
      </c>
      <c r="BJ107" s="11"/>
      <c r="BK107" s="11"/>
      <c r="BL107" s="11"/>
      <c r="BM107" s="11"/>
      <c r="BN107" s="11"/>
    </row>
    <row r="108" s="1" customFormat="1" spans="1:66">
      <c r="A108" s="9" t="s">
        <v>119</v>
      </c>
      <c r="B108" s="9">
        <v>104868089.73</v>
      </c>
      <c r="C108" s="9">
        <v>7231049.3</v>
      </c>
      <c r="D108" s="9">
        <v>7445243.07</v>
      </c>
      <c r="E108" s="9">
        <v>7837279.83</v>
      </c>
      <c r="F108" s="9">
        <v>6584877.66</v>
      </c>
      <c r="G108" s="10">
        <v>0.501392710395213</v>
      </c>
      <c r="H108" s="10">
        <v>0.433906246060546</v>
      </c>
      <c r="I108" s="10">
        <v>0.0409138183595438</v>
      </c>
      <c r="J108" s="10"/>
      <c r="K108" s="11"/>
      <c r="L108" s="11"/>
      <c r="M108" s="11"/>
      <c r="N108" s="11"/>
      <c r="O108" s="9">
        <v>113534135.44</v>
      </c>
      <c r="P108" s="9">
        <v>8039783.46</v>
      </c>
      <c r="Q108" s="9">
        <v>6429246.7</v>
      </c>
      <c r="R108" s="9">
        <v>9290229.99</v>
      </c>
      <c r="S108" s="9">
        <v>8062177.64</v>
      </c>
      <c r="T108" s="10">
        <v>0.501392710395213</v>
      </c>
      <c r="U108" s="10">
        <v>0.433906246060546</v>
      </c>
      <c r="V108" s="10">
        <v>0.0409138183595438</v>
      </c>
      <c r="W108" s="10"/>
      <c r="X108" s="11"/>
      <c r="Y108" s="11"/>
      <c r="Z108" s="11"/>
      <c r="AA108" s="11"/>
      <c r="AB108" s="9">
        <v>104031484.13</v>
      </c>
      <c r="AC108" s="9">
        <v>7864989.56</v>
      </c>
      <c r="AD108" s="9">
        <v>7868466.27</v>
      </c>
      <c r="AE108" s="9">
        <v>9024459.24</v>
      </c>
      <c r="AF108" s="9">
        <v>7850978.18</v>
      </c>
      <c r="AG108" s="10">
        <v>0.49910925628743</v>
      </c>
      <c r="AH108" s="10">
        <v>0.434983303221169</v>
      </c>
      <c r="AI108" s="10">
        <v>0.0433736926636692</v>
      </c>
      <c r="AJ108" s="10"/>
      <c r="AK108" s="11"/>
      <c r="AL108" s="11"/>
      <c r="AM108" s="11"/>
      <c r="AN108" s="11"/>
      <c r="AO108" s="9">
        <v>115458888.49</v>
      </c>
      <c r="AP108" s="9">
        <v>9113507.85</v>
      </c>
      <c r="AQ108" s="9">
        <v>8584158.8</v>
      </c>
      <c r="AR108" s="9">
        <v>10186138.62</v>
      </c>
      <c r="AS108" s="9">
        <v>8545171.9</v>
      </c>
      <c r="AT108" s="10">
        <v>0.468819034374344</v>
      </c>
      <c r="AU108" s="10">
        <v>0.419450992116972</v>
      </c>
      <c r="AV108" s="10">
        <v>0.0441115394112001</v>
      </c>
      <c r="AW108" s="10"/>
      <c r="AX108" s="11"/>
      <c r="AY108" s="11"/>
      <c r="AZ108" s="11"/>
      <c r="BA108" s="11"/>
      <c r="BB108" s="9">
        <f t="shared" ref="BB108:BF108" si="146">SUM(B108,O108,)</f>
        <v>218402225.17</v>
      </c>
      <c r="BC108" s="9">
        <f t="shared" si="146"/>
        <v>15270832.76</v>
      </c>
      <c r="BD108" s="9">
        <f t="shared" si="146"/>
        <v>13874489.77</v>
      </c>
      <c r="BE108" s="9">
        <f t="shared" si="146"/>
        <v>17127509.82</v>
      </c>
      <c r="BF108" s="9">
        <f t="shared" si="146"/>
        <v>14647055.3</v>
      </c>
      <c r="BG108" s="10">
        <f t="shared" ref="BG108:BI108" si="147">AVERAGE(G108,T108,AT108,AG108)</f>
        <v>0.49267842786305</v>
      </c>
      <c r="BH108" s="10">
        <f t="shared" si="147"/>
        <v>0.430561696864808</v>
      </c>
      <c r="BI108" s="10">
        <f t="shared" si="147"/>
        <v>0.0423282171984892</v>
      </c>
      <c r="BJ108" s="11"/>
      <c r="BK108" s="11"/>
      <c r="BL108" s="11"/>
      <c r="BM108" s="11"/>
      <c r="BN108" s="11"/>
    </row>
    <row r="109" s="1" customFormat="1" spans="1:66">
      <c r="A109" s="12" t="s">
        <v>120</v>
      </c>
      <c r="B109" s="12">
        <v>1218718019.28</v>
      </c>
      <c r="C109" s="12">
        <v>65598724.58</v>
      </c>
      <c r="D109" s="12">
        <v>63147653.75</v>
      </c>
      <c r="E109" s="12">
        <v>85156637.44</v>
      </c>
      <c r="F109" s="12">
        <v>61546352.77</v>
      </c>
      <c r="G109" s="13">
        <v>0.952123612596987</v>
      </c>
      <c r="H109" s="13">
        <v>0.771610943467416</v>
      </c>
      <c r="I109" s="13">
        <v>0.0578533614170617</v>
      </c>
      <c r="J109" s="13"/>
      <c r="K109" s="11"/>
      <c r="L109" s="11"/>
      <c r="M109" s="11"/>
      <c r="N109" s="11"/>
      <c r="O109" s="12">
        <v>1222330873.6</v>
      </c>
      <c r="P109" s="12">
        <v>67101296.5</v>
      </c>
      <c r="Q109" s="12">
        <v>63590736.1</v>
      </c>
      <c r="R109" s="12">
        <v>89343215.38</v>
      </c>
      <c r="S109" s="12">
        <v>63814229.01</v>
      </c>
      <c r="T109" s="13">
        <v>0.952123612596987</v>
      </c>
      <c r="U109" s="13">
        <v>0.771610943467416</v>
      </c>
      <c r="V109" s="13">
        <v>0.0578533614170617</v>
      </c>
      <c r="W109" s="13"/>
      <c r="X109" s="11"/>
      <c r="Y109" s="11"/>
      <c r="Z109" s="11"/>
      <c r="AA109" s="11"/>
      <c r="AB109" s="12">
        <v>1232049165.44</v>
      </c>
      <c r="AC109" s="12">
        <v>68738740.1</v>
      </c>
      <c r="AD109" s="12">
        <v>84230182.38</v>
      </c>
      <c r="AE109" s="12">
        <v>92588761.69</v>
      </c>
      <c r="AF109" s="12">
        <v>65323617.15</v>
      </c>
      <c r="AG109" s="13">
        <v>1.00575429068501</v>
      </c>
      <c r="AH109" s="13">
        <v>0.798263455423508</v>
      </c>
      <c r="AI109" s="13">
        <v>0.059722094995999</v>
      </c>
      <c r="AJ109" s="13"/>
      <c r="AK109" s="11"/>
      <c r="AL109" s="11"/>
      <c r="AM109" s="11"/>
      <c r="AN109" s="11"/>
      <c r="AO109" s="12">
        <v>1246224669.32</v>
      </c>
      <c r="AP109" s="12">
        <v>71474346.6</v>
      </c>
      <c r="AQ109" s="12">
        <v>99064875.1</v>
      </c>
      <c r="AR109" s="12">
        <v>97134699.9</v>
      </c>
      <c r="AS109" s="12">
        <v>66863919.49</v>
      </c>
      <c r="AT109" s="13">
        <v>0.971363725363133</v>
      </c>
      <c r="AU109" s="13">
        <v>0.791963465990134</v>
      </c>
      <c r="AV109" s="13">
        <v>0.0601369017474796</v>
      </c>
      <c r="AW109" s="13"/>
      <c r="AX109" s="11"/>
      <c r="AY109" s="11"/>
      <c r="AZ109" s="11"/>
      <c r="BA109" s="11"/>
      <c r="BB109" s="12">
        <v>1218718019.28</v>
      </c>
      <c r="BC109" s="12">
        <v>65598724.58</v>
      </c>
      <c r="BD109" s="12">
        <v>63147653.75</v>
      </c>
      <c r="BE109" s="12">
        <v>85156637.44</v>
      </c>
      <c r="BF109" s="12">
        <v>61546352.77</v>
      </c>
      <c r="BG109" s="13">
        <v>0.952123612596987</v>
      </c>
      <c r="BH109" s="13">
        <v>0.771610943467416</v>
      </c>
      <c r="BI109" s="13">
        <v>0.0578533614170617</v>
      </c>
      <c r="BJ109" s="11"/>
      <c r="BK109" s="11"/>
      <c r="BL109" s="11"/>
      <c r="BM109" s="11"/>
      <c r="BN109" s="11"/>
    </row>
    <row r="110" s="1" customFormat="1" spans="1:66">
      <c r="A110" s="9" t="s">
        <v>122</v>
      </c>
      <c r="B110" s="9">
        <v>343091100.77</v>
      </c>
      <c r="C110" s="9">
        <v>26259840.64</v>
      </c>
      <c r="D110" s="9">
        <v>24394062.64</v>
      </c>
      <c r="E110" s="9">
        <v>30205651.29</v>
      </c>
      <c r="F110" s="9">
        <v>25002335.61</v>
      </c>
      <c r="G110" s="10">
        <v>0.995885121924345</v>
      </c>
      <c r="H110" s="10">
        <v>0.86504199684719</v>
      </c>
      <c r="I110" s="10">
        <v>0.075147690476824</v>
      </c>
      <c r="J110" s="10"/>
      <c r="K110" s="11"/>
      <c r="L110" s="11"/>
      <c r="M110" s="11"/>
      <c r="N110" s="11"/>
      <c r="O110" s="9">
        <v>363382807.39</v>
      </c>
      <c r="P110" s="9">
        <v>27377560.02</v>
      </c>
      <c r="Q110" s="9">
        <v>24435994.32</v>
      </c>
      <c r="R110" s="9">
        <v>32294008.93</v>
      </c>
      <c r="S110" s="9">
        <v>27060422.52</v>
      </c>
      <c r="T110" s="10">
        <v>0.995885121924345</v>
      </c>
      <c r="U110" s="10">
        <v>0.86504199684719</v>
      </c>
      <c r="V110" s="10">
        <v>0.075147690476824</v>
      </c>
      <c r="W110" s="10"/>
      <c r="X110" s="11"/>
      <c r="Y110" s="11"/>
      <c r="Z110" s="11"/>
      <c r="AA110" s="11"/>
      <c r="AB110" s="9">
        <v>355719842.15</v>
      </c>
      <c r="AC110" s="9">
        <v>27684783.6</v>
      </c>
      <c r="AD110" s="9">
        <v>31250590.35</v>
      </c>
      <c r="AE110" s="9">
        <v>33162809.27</v>
      </c>
      <c r="AF110" s="9">
        <v>27623746.83</v>
      </c>
      <c r="AG110" s="10">
        <v>1.05091814116955</v>
      </c>
      <c r="AH110" s="10">
        <v>0.909337993596659</v>
      </c>
      <c r="AI110" s="10">
        <v>0.0784731135932425</v>
      </c>
      <c r="AJ110" s="10"/>
      <c r="AK110" s="11"/>
      <c r="AL110" s="11"/>
      <c r="AM110" s="11"/>
      <c r="AN110" s="11"/>
      <c r="AO110" s="9">
        <v>376340432.84</v>
      </c>
      <c r="AP110" s="9">
        <v>29543469.42</v>
      </c>
      <c r="AQ110" s="9">
        <v>29594541.83</v>
      </c>
      <c r="AR110" s="9">
        <v>34517212.04</v>
      </c>
      <c r="AS110" s="9">
        <v>27484727.75</v>
      </c>
      <c r="AT110" s="10">
        <v>0.961946481239256</v>
      </c>
      <c r="AU110" s="10">
        <v>0.890200986723882</v>
      </c>
      <c r="AV110" s="10">
        <v>0.0758481357317347</v>
      </c>
      <c r="AW110" s="10"/>
      <c r="AX110" s="11"/>
      <c r="AY110" s="11"/>
      <c r="AZ110" s="11"/>
      <c r="BA110" s="11"/>
      <c r="BB110" s="9">
        <f t="shared" ref="BB110:BF110" si="148">SUM(B110,O110,)</f>
        <v>706473908.16</v>
      </c>
      <c r="BC110" s="9">
        <f t="shared" si="148"/>
        <v>53637400.66</v>
      </c>
      <c r="BD110" s="9">
        <f t="shared" si="148"/>
        <v>48830056.96</v>
      </c>
      <c r="BE110" s="9">
        <f t="shared" si="148"/>
        <v>62499660.22</v>
      </c>
      <c r="BF110" s="9">
        <f t="shared" si="148"/>
        <v>52062758.13</v>
      </c>
      <c r="BG110" s="10">
        <f t="shared" ref="BG110:BI110" si="149">AVERAGE(G110,T110,AT110,AG110)</f>
        <v>1.00115871656437</v>
      </c>
      <c r="BH110" s="10">
        <f t="shared" si="149"/>
        <v>0.88240574350373</v>
      </c>
      <c r="BI110" s="10">
        <f t="shared" si="149"/>
        <v>0.0761541575696563</v>
      </c>
      <c r="BJ110" s="11"/>
      <c r="BK110" s="11"/>
      <c r="BL110" s="11"/>
      <c r="BM110" s="11"/>
      <c r="BN110" s="11"/>
    </row>
    <row r="111" s="1" customFormat="1" spans="1:66">
      <c r="A111" s="9" t="s">
        <v>121</v>
      </c>
      <c r="B111" s="9">
        <v>215898943.06</v>
      </c>
      <c r="C111" s="9">
        <v>21231291.26</v>
      </c>
      <c r="D111" s="9">
        <v>20227423.67</v>
      </c>
      <c r="E111" s="9">
        <v>22887942.04</v>
      </c>
      <c r="F111" s="9">
        <v>19343926.12</v>
      </c>
      <c r="G111" s="10">
        <v>1.03862368921499</v>
      </c>
      <c r="H111" s="10">
        <v>0.967484347052977</v>
      </c>
      <c r="I111" s="10">
        <v>0.097207854072811</v>
      </c>
      <c r="J111" s="10"/>
      <c r="K111" s="11"/>
      <c r="L111" s="11"/>
      <c r="M111" s="11"/>
      <c r="N111" s="11"/>
      <c r="O111" s="9">
        <v>209767924.6</v>
      </c>
      <c r="P111" s="9">
        <v>21219664.81</v>
      </c>
      <c r="Q111" s="9">
        <v>18955013.56</v>
      </c>
      <c r="R111" s="9">
        <v>24070244.02</v>
      </c>
      <c r="S111" s="9">
        <v>22737899.13</v>
      </c>
      <c r="T111" s="10">
        <v>1.03862368921499</v>
      </c>
      <c r="U111" s="10">
        <v>0.967484347052977</v>
      </c>
      <c r="V111" s="10">
        <v>0.097207854072811</v>
      </c>
      <c r="W111" s="10"/>
      <c r="X111" s="11"/>
      <c r="Y111" s="11"/>
      <c r="Z111" s="11"/>
      <c r="AA111" s="11"/>
      <c r="AB111" s="9">
        <v>194585377.99</v>
      </c>
      <c r="AC111" s="9">
        <v>20861033.05</v>
      </c>
      <c r="AD111" s="9">
        <v>27442372.69</v>
      </c>
      <c r="AE111" s="9">
        <v>22846567.62</v>
      </c>
      <c r="AF111" s="9">
        <v>20952125.14</v>
      </c>
      <c r="AG111" s="10">
        <v>1.0065849242744</v>
      </c>
      <c r="AH111" s="10">
        <v>0.957705807547711</v>
      </c>
      <c r="AI111" s="10">
        <v>0.101462012946857</v>
      </c>
      <c r="AJ111" s="10"/>
      <c r="AK111" s="11"/>
      <c r="AL111" s="11"/>
      <c r="AM111" s="11"/>
      <c r="AN111" s="11"/>
      <c r="AO111" s="9">
        <v>209822253.29</v>
      </c>
      <c r="AP111" s="9">
        <v>21261747.66</v>
      </c>
      <c r="AQ111" s="9">
        <v>23941630.27</v>
      </c>
      <c r="AR111" s="9">
        <v>21927165.31</v>
      </c>
      <c r="AS111" s="9">
        <v>19406631.57</v>
      </c>
      <c r="AT111" s="10">
        <v>0.907772904241476</v>
      </c>
      <c r="AU111" s="10">
        <v>0.8935898896776</v>
      </c>
      <c r="AV111" s="10">
        <v>0.0953375042876401</v>
      </c>
      <c r="AW111" s="10"/>
      <c r="AX111" s="11"/>
      <c r="AY111" s="11"/>
      <c r="AZ111" s="11"/>
      <c r="BA111" s="11"/>
      <c r="BB111" s="9">
        <f t="shared" ref="BB111:BF111" si="150">SUM(B111,O111,)</f>
        <v>425666867.66</v>
      </c>
      <c r="BC111" s="9">
        <f t="shared" si="150"/>
        <v>42450956.07</v>
      </c>
      <c r="BD111" s="9">
        <f t="shared" si="150"/>
        <v>39182437.23</v>
      </c>
      <c r="BE111" s="9">
        <f t="shared" si="150"/>
        <v>46958186.06</v>
      </c>
      <c r="BF111" s="9">
        <f t="shared" si="150"/>
        <v>42081825.25</v>
      </c>
      <c r="BG111" s="10">
        <f t="shared" ref="BG111:BI111" si="151">AVERAGE(G111,T111,AT111,AG111)</f>
        <v>0.997901301736463</v>
      </c>
      <c r="BH111" s="10">
        <f t="shared" si="151"/>
        <v>0.946566097832816</v>
      </c>
      <c r="BI111" s="10">
        <f t="shared" si="151"/>
        <v>0.0978038063450298</v>
      </c>
      <c r="BJ111" s="11"/>
      <c r="BK111" s="11"/>
      <c r="BL111" s="11"/>
      <c r="BM111" s="11"/>
      <c r="BN111" s="11"/>
    </row>
    <row r="112" s="1" customFormat="1" spans="1:66">
      <c r="A112" s="12" t="s">
        <v>123</v>
      </c>
      <c r="B112" s="12">
        <v>558990043.83</v>
      </c>
      <c r="C112" s="12">
        <v>47491131.9</v>
      </c>
      <c r="D112" s="12">
        <v>44621486.31</v>
      </c>
      <c r="E112" s="12">
        <v>53093593.3299999</v>
      </c>
      <c r="F112" s="12">
        <v>44346261.73</v>
      </c>
      <c r="G112" s="13">
        <v>1.01536234458936</v>
      </c>
      <c r="H112" s="13">
        <v>0.896551747060952</v>
      </c>
      <c r="I112" s="13">
        <v>0.0807051326370279</v>
      </c>
      <c r="J112" s="13"/>
      <c r="K112" s="11"/>
      <c r="L112" s="11"/>
      <c r="M112" s="11"/>
      <c r="N112" s="11"/>
      <c r="O112" s="12">
        <v>573150731.99</v>
      </c>
      <c r="P112" s="12">
        <v>48597224.83</v>
      </c>
      <c r="Q112" s="12">
        <v>43391007.88</v>
      </c>
      <c r="R112" s="12">
        <v>56364252.95</v>
      </c>
      <c r="S112" s="12">
        <v>49798321.65</v>
      </c>
      <c r="T112" s="13">
        <v>1.01536234458936</v>
      </c>
      <c r="U112" s="13">
        <v>0.896551747060952</v>
      </c>
      <c r="V112" s="13">
        <v>0.0807051326370279</v>
      </c>
      <c r="W112" s="13"/>
      <c r="X112" s="11"/>
      <c r="Y112" s="11"/>
      <c r="Z112" s="11"/>
      <c r="AA112" s="11"/>
      <c r="AB112" s="12">
        <v>550305220.14</v>
      </c>
      <c r="AC112" s="12">
        <v>48545816.65</v>
      </c>
      <c r="AD112" s="12">
        <v>58692963.04</v>
      </c>
      <c r="AE112" s="12">
        <v>56009376.89</v>
      </c>
      <c r="AF112" s="12">
        <v>48575871.97</v>
      </c>
      <c r="AG112" s="13">
        <v>1.04630456022699</v>
      </c>
      <c r="AH112" s="13">
        <v>0.929798263827133</v>
      </c>
      <c r="AI112" s="13">
        <v>0.0836693595817627</v>
      </c>
      <c r="AJ112" s="13"/>
      <c r="AK112" s="11"/>
      <c r="AL112" s="11"/>
      <c r="AM112" s="11"/>
      <c r="AN112" s="11"/>
      <c r="AO112" s="12">
        <v>586162686.13</v>
      </c>
      <c r="AP112" s="12">
        <v>50805217.08</v>
      </c>
      <c r="AQ112" s="12">
        <v>53536172.1</v>
      </c>
      <c r="AR112" s="12">
        <v>56444377.35</v>
      </c>
      <c r="AS112" s="12">
        <v>46891359.32</v>
      </c>
      <c r="AT112" s="13">
        <v>0.951309058395966</v>
      </c>
      <c r="AU112" s="13">
        <v>0.902814065501232</v>
      </c>
      <c r="AV112" s="13">
        <v>0.0792084253248569</v>
      </c>
      <c r="AW112" s="13"/>
      <c r="AX112" s="11"/>
      <c r="AY112" s="11"/>
      <c r="AZ112" s="11"/>
      <c r="BA112" s="11"/>
      <c r="BB112" s="12">
        <v>558990043.83</v>
      </c>
      <c r="BC112" s="12">
        <v>47491131.9</v>
      </c>
      <c r="BD112" s="12">
        <v>44621486.31</v>
      </c>
      <c r="BE112" s="12">
        <v>53093593.3299999</v>
      </c>
      <c r="BF112" s="12">
        <v>44346261.73</v>
      </c>
      <c r="BG112" s="13">
        <v>1.01536234458936</v>
      </c>
      <c r="BH112" s="13">
        <v>0.896551747060952</v>
      </c>
      <c r="BI112" s="13">
        <v>0.0807051326370279</v>
      </c>
      <c r="BJ112" s="11"/>
      <c r="BK112" s="11"/>
      <c r="BL112" s="11"/>
      <c r="BM112" s="11"/>
      <c r="BN112" s="11"/>
    </row>
    <row r="113" s="1" customFormat="1" spans="1:66">
      <c r="A113" s="14" t="s">
        <v>124</v>
      </c>
      <c r="B113" s="14">
        <v>3295276097.57</v>
      </c>
      <c r="C113" s="14">
        <v>203866087.29</v>
      </c>
      <c r="D113" s="14">
        <v>205252500.41</v>
      </c>
      <c r="E113" s="14">
        <v>250671801.53</v>
      </c>
      <c r="F113" s="14">
        <v>190916627.29</v>
      </c>
      <c r="G113" s="15">
        <v>0.993744621907543</v>
      </c>
      <c r="H113" s="15">
        <v>0.774519029057141</v>
      </c>
      <c r="I113" s="15">
        <v>0.0682580858351328</v>
      </c>
      <c r="J113" s="15"/>
      <c r="K113" s="11"/>
      <c r="L113" s="11"/>
      <c r="M113" s="11"/>
      <c r="N113" s="11"/>
      <c r="O113" s="14">
        <v>3345664837.9</v>
      </c>
      <c r="P113" s="14">
        <v>208264942.84</v>
      </c>
      <c r="Q113" s="14">
        <v>190396969.22</v>
      </c>
      <c r="R113" s="14">
        <v>262818529.43</v>
      </c>
      <c r="S113" s="14">
        <v>202301503.09</v>
      </c>
      <c r="T113" s="15">
        <v>0.993744621907543</v>
      </c>
      <c r="U113" s="15">
        <v>0.774519029057141</v>
      </c>
      <c r="V113" s="15">
        <v>0.0682580858351328</v>
      </c>
      <c r="W113" s="15"/>
      <c r="X113" s="11"/>
      <c r="Y113" s="11"/>
      <c r="Z113" s="11"/>
      <c r="AA113" s="11"/>
      <c r="AB113" s="14">
        <v>3370025356.16</v>
      </c>
      <c r="AC113" s="14">
        <v>211691662.99</v>
      </c>
      <c r="AD113" s="14">
        <v>306608334.86</v>
      </c>
      <c r="AE113" s="14">
        <v>268680033.94</v>
      </c>
      <c r="AF113" s="14">
        <v>204498953.66</v>
      </c>
      <c r="AG113" s="15">
        <v>0.985740090233015</v>
      </c>
      <c r="AH113" s="15">
        <v>0.775171265996193</v>
      </c>
      <c r="AI113" s="15">
        <v>0.0688565283533683</v>
      </c>
      <c r="AJ113" s="15"/>
      <c r="AK113" s="11"/>
      <c r="AL113" s="11"/>
      <c r="AM113" s="11"/>
      <c r="AN113" s="11"/>
      <c r="AO113" s="14">
        <v>3399909475.43</v>
      </c>
      <c r="AP113" s="14">
        <v>217610378.75</v>
      </c>
      <c r="AQ113" s="14">
        <v>257887752.17</v>
      </c>
      <c r="AR113" s="14">
        <v>274993150.19</v>
      </c>
      <c r="AS113" s="14">
        <v>201903272.97</v>
      </c>
      <c r="AT113" s="15">
        <v>0.936837615769338</v>
      </c>
      <c r="AU113" s="15">
        <v>0.742191247957083</v>
      </c>
      <c r="AV113" s="15">
        <v>0.0692449989295591</v>
      </c>
      <c r="AW113" s="15"/>
      <c r="AX113" s="11"/>
      <c r="AY113" s="11"/>
      <c r="AZ113" s="11"/>
      <c r="BA113" s="11"/>
      <c r="BB113" s="14">
        <v>3295276097.57</v>
      </c>
      <c r="BC113" s="14">
        <v>203866087.29</v>
      </c>
      <c r="BD113" s="14">
        <v>205252500.41</v>
      </c>
      <c r="BE113" s="14">
        <v>250671801.53</v>
      </c>
      <c r="BF113" s="14">
        <v>190916627.29</v>
      </c>
      <c r="BG113" s="15">
        <v>0.993744621907543</v>
      </c>
      <c r="BH113" s="15">
        <v>0.774519029057141</v>
      </c>
      <c r="BI113" s="15">
        <v>0.0682580858351328</v>
      </c>
      <c r="BJ113" s="11"/>
      <c r="BK113" s="11"/>
      <c r="BL113" s="11"/>
      <c r="BM113" s="11"/>
      <c r="BN113" s="11"/>
    </row>
    <row r="114" s="1" customFormat="1" spans="1:66">
      <c r="A114" s="16" t="s">
        <v>125</v>
      </c>
      <c r="B114" s="16">
        <v>10109972005.47</v>
      </c>
      <c r="C114" s="16">
        <v>672695052.44</v>
      </c>
      <c r="D114" s="16">
        <v>726221226.4</v>
      </c>
      <c r="E114" s="16">
        <v>817113285.37</v>
      </c>
      <c r="F114" s="16">
        <v>637613567.99</v>
      </c>
      <c r="G114" s="17">
        <v>0.975386904706133</v>
      </c>
      <c r="H114" s="17">
        <v>0.791691826848084</v>
      </c>
      <c r="I114" s="17">
        <v>0.078252898402863</v>
      </c>
      <c r="J114" s="17"/>
      <c r="K114" s="11"/>
      <c r="L114" s="11"/>
      <c r="M114" s="11"/>
      <c r="N114" s="11"/>
      <c r="O114" s="16">
        <v>10164433344.47</v>
      </c>
      <c r="P114" s="16">
        <v>686199413.82</v>
      </c>
      <c r="Q114" s="16">
        <v>677700079.15</v>
      </c>
      <c r="R114" s="16">
        <v>849913937.55</v>
      </c>
      <c r="S114" s="16">
        <v>666200636.96</v>
      </c>
      <c r="T114" s="17">
        <v>0.975386904706133</v>
      </c>
      <c r="U114" s="17">
        <v>0.791691826848084</v>
      </c>
      <c r="V114" s="17">
        <v>0.078252898402863</v>
      </c>
      <c r="W114" s="17"/>
      <c r="X114" s="11"/>
      <c r="Y114" s="11"/>
      <c r="Z114" s="11"/>
      <c r="AA114" s="11"/>
      <c r="AB114" s="16">
        <v>9913682959.64</v>
      </c>
      <c r="AC114" s="16">
        <v>697038597.87</v>
      </c>
      <c r="AD114" s="16">
        <v>897058370.38</v>
      </c>
      <c r="AE114" s="16">
        <v>856399228.86</v>
      </c>
      <c r="AF114" s="16">
        <v>675925940.44</v>
      </c>
      <c r="AG114" s="17">
        <v>0.944416534281991</v>
      </c>
      <c r="AH114" s="17">
        <v>0.779212499999548</v>
      </c>
      <c r="AI114" s="17">
        <v>0.0825577492709547</v>
      </c>
      <c r="AJ114" s="17"/>
      <c r="AK114" s="11"/>
      <c r="AL114" s="11"/>
      <c r="AM114" s="11"/>
      <c r="AN114" s="11"/>
      <c r="AO114" s="16">
        <v>10136615842.22</v>
      </c>
      <c r="AP114" s="16">
        <v>716129278.33</v>
      </c>
      <c r="AQ114" s="16">
        <v>808381728.55</v>
      </c>
      <c r="AR114" s="16">
        <v>897047225.73</v>
      </c>
      <c r="AS114" s="16">
        <v>668419849.9</v>
      </c>
      <c r="AT114" s="17">
        <v>0.915554644618799</v>
      </c>
      <c r="AU114" s="17">
        <v>0.724892713871248</v>
      </c>
      <c r="AV114" s="17">
        <v>0.0852357663548789</v>
      </c>
      <c r="AW114" s="17"/>
      <c r="AX114" s="11"/>
      <c r="AY114" s="11"/>
      <c r="AZ114" s="11"/>
      <c r="BA114" s="11"/>
      <c r="BB114" s="16">
        <v>10109972005.47</v>
      </c>
      <c r="BC114" s="16">
        <v>672695052.44</v>
      </c>
      <c r="BD114" s="16">
        <v>726221226.4</v>
      </c>
      <c r="BE114" s="16">
        <v>817113285.37</v>
      </c>
      <c r="BF114" s="16">
        <v>637613567.99</v>
      </c>
      <c r="BG114" s="17">
        <v>0.975386904706133</v>
      </c>
      <c r="BH114" s="17">
        <v>0.791691826848084</v>
      </c>
      <c r="BI114" s="17">
        <v>0.078252898402863</v>
      </c>
      <c r="BJ114" s="11"/>
      <c r="BK114" s="11"/>
      <c r="BL114" s="11"/>
      <c r="BM114" s="11"/>
      <c r="BN114" s="11"/>
    </row>
    <row r="115" s="1" customFormat="1" spans="1:66">
      <c r="A115" s="9" t="s">
        <v>127</v>
      </c>
      <c r="B115" s="9">
        <v>428171033.53</v>
      </c>
      <c r="C115" s="9">
        <v>25082924.92</v>
      </c>
      <c r="D115" s="9">
        <v>28988952.26</v>
      </c>
      <c r="E115" s="9">
        <v>27497338.35</v>
      </c>
      <c r="F115" s="9">
        <v>23482048.91</v>
      </c>
      <c r="G115" s="10">
        <v>0.992469793411929</v>
      </c>
      <c r="H115" s="10">
        <v>0.940865972469318</v>
      </c>
      <c r="I115" s="10">
        <v>0.0666533232371165</v>
      </c>
      <c r="J115" s="10"/>
      <c r="K115" s="11"/>
      <c r="L115" s="11"/>
      <c r="M115" s="11"/>
      <c r="N115" s="11"/>
      <c r="O115" s="9">
        <v>438535175.55</v>
      </c>
      <c r="P115" s="9">
        <v>26122243.17</v>
      </c>
      <c r="Q115" s="9">
        <v>22726692.51</v>
      </c>
      <c r="R115" s="9">
        <v>29142668.63</v>
      </c>
      <c r="S115" s="9">
        <v>25733619.07</v>
      </c>
      <c r="T115" s="10">
        <v>0.992469793411929</v>
      </c>
      <c r="U115" s="10">
        <v>0.940865972469318</v>
      </c>
      <c r="V115" s="10">
        <v>0.0666533232371165</v>
      </c>
      <c r="W115" s="10"/>
      <c r="X115" s="11"/>
      <c r="Y115" s="11"/>
      <c r="Z115" s="11"/>
      <c r="AA115" s="11"/>
      <c r="AB115" s="9">
        <v>448672377.74</v>
      </c>
      <c r="AC115" s="9">
        <v>26324407.04</v>
      </c>
      <c r="AD115" s="9">
        <v>27036681.07</v>
      </c>
      <c r="AE115" s="9">
        <v>29185782.39</v>
      </c>
      <c r="AF115" s="9">
        <v>25215929.15</v>
      </c>
      <c r="AG115" s="10">
        <v>0.978688452796662</v>
      </c>
      <c r="AH115" s="10">
        <v>0.931241008409761</v>
      </c>
      <c r="AI115" s="10">
        <v>0.0678162559258495</v>
      </c>
      <c r="AJ115" s="10"/>
      <c r="AK115" s="11"/>
      <c r="AL115" s="11"/>
      <c r="AM115" s="11"/>
      <c r="AN115" s="11"/>
      <c r="AO115" s="9">
        <v>461613159</v>
      </c>
      <c r="AP115" s="9">
        <v>27157331.23</v>
      </c>
      <c r="AQ115" s="9">
        <v>35444705.63</v>
      </c>
      <c r="AR115" s="9">
        <v>39751276.6</v>
      </c>
      <c r="AS115" s="9">
        <v>25059414.03</v>
      </c>
      <c r="AT115" s="10">
        <v>0.961071598648947</v>
      </c>
      <c r="AU115" s="10">
        <v>0.814214199288865</v>
      </c>
      <c r="AV115" s="10">
        <v>0.0756965539157036</v>
      </c>
      <c r="AW115" s="10"/>
      <c r="AX115" s="11"/>
      <c r="AY115" s="11"/>
      <c r="AZ115" s="11"/>
      <c r="BA115" s="11"/>
      <c r="BB115" s="9">
        <f t="shared" ref="BB115:BF115" si="152">SUM(B115,O115,)</f>
        <v>866706209.08</v>
      </c>
      <c r="BC115" s="9">
        <f t="shared" si="152"/>
        <v>51205168.09</v>
      </c>
      <c r="BD115" s="9">
        <f t="shared" si="152"/>
        <v>51715644.77</v>
      </c>
      <c r="BE115" s="9">
        <f t="shared" si="152"/>
        <v>56640006.98</v>
      </c>
      <c r="BF115" s="9">
        <f t="shared" si="152"/>
        <v>49215667.98</v>
      </c>
      <c r="BG115" s="10">
        <f t="shared" ref="BG115:BI115" si="153">AVERAGE(G115,T115,AT115,AG115)</f>
        <v>0.981174909567367</v>
      </c>
      <c r="BH115" s="10">
        <f t="shared" si="153"/>
        <v>0.906796788159316</v>
      </c>
      <c r="BI115" s="10">
        <f t="shared" si="153"/>
        <v>0.0692048640789465</v>
      </c>
      <c r="BJ115" s="11"/>
      <c r="BK115" s="11"/>
      <c r="BL115" s="11"/>
      <c r="BM115" s="11"/>
      <c r="BN115" s="11"/>
    </row>
    <row r="116" s="1" customFormat="1" spans="1:66">
      <c r="A116" s="9" t="s">
        <v>129</v>
      </c>
      <c r="B116" s="9">
        <v>479033974.720001</v>
      </c>
      <c r="C116" s="9">
        <v>30694448.86</v>
      </c>
      <c r="D116" s="9">
        <v>29646386.17</v>
      </c>
      <c r="E116" s="9">
        <v>41165315.45</v>
      </c>
      <c r="F116" s="9">
        <v>28116385.16</v>
      </c>
      <c r="G116" s="10">
        <v>1.11002232910001</v>
      </c>
      <c r="H116" s="10">
        <v>0.706161290013692</v>
      </c>
      <c r="I116" s="10">
        <v>0.0977450211497074</v>
      </c>
      <c r="J116" s="10"/>
      <c r="K116" s="11"/>
      <c r="L116" s="11"/>
      <c r="M116" s="11"/>
      <c r="N116" s="11"/>
      <c r="O116" s="9">
        <v>473330221.27</v>
      </c>
      <c r="P116" s="9">
        <v>31042861.01</v>
      </c>
      <c r="Q116" s="9">
        <v>27958660.42</v>
      </c>
      <c r="R116" s="9">
        <v>42919912.47</v>
      </c>
      <c r="S116" s="9">
        <v>30321765.09</v>
      </c>
      <c r="T116" s="10">
        <v>1.11002232910001</v>
      </c>
      <c r="U116" s="10">
        <v>0.706161290013692</v>
      </c>
      <c r="V116" s="10">
        <v>0.0977450211497074</v>
      </c>
      <c r="W116" s="10"/>
      <c r="X116" s="11"/>
      <c r="Y116" s="11"/>
      <c r="Z116" s="11"/>
      <c r="AA116" s="11"/>
      <c r="AB116" s="9">
        <v>473562244.9</v>
      </c>
      <c r="AC116" s="9">
        <v>30467035.51</v>
      </c>
      <c r="AD116" s="9">
        <v>34416070.4</v>
      </c>
      <c r="AE116" s="9">
        <v>42332382.44</v>
      </c>
      <c r="AF116" s="9">
        <v>29604038.66</v>
      </c>
      <c r="AG116" s="10">
        <v>1.24174389401515</v>
      </c>
      <c r="AH116" s="10">
        <v>0.847280220885293</v>
      </c>
      <c r="AI116" s="10">
        <v>0.0928599381027539</v>
      </c>
      <c r="AJ116" s="10"/>
      <c r="AK116" s="11"/>
      <c r="AL116" s="11"/>
      <c r="AM116" s="11"/>
      <c r="AN116" s="11"/>
      <c r="AO116" s="9">
        <v>478697725.52</v>
      </c>
      <c r="AP116" s="9">
        <v>31011933.6</v>
      </c>
      <c r="AQ116" s="9">
        <v>34517011.91</v>
      </c>
      <c r="AR116" s="9">
        <v>42906065.71</v>
      </c>
      <c r="AS116" s="9">
        <v>28047995.84</v>
      </c>
      <c r="AT116" s="10">
        <v>0.573009858537001</v>
      </c>
      <c r="AU116" s="10">
        <v>0.445030736870761</v>
      </c>
      <c r="AV116" s="10">
        <v>0.0796477384248505</v>
      </c>
      <c r="AW116" s="10"/>
      <c r="AX116" s="11"/>
      <c r="AY116" s="11"/>
      <c r="AZ116" s="11"/>
      <c r="BA116" s="11"/>
      <c r="BB116" s="9">
        <f t="shared" ref="BB116:BF116" si="154">SUM(B116,O116,)</f>
        <v>952364195.990001</v>
      </c>
      <c r="BC116" s="9">
        <f t="shared" si="154"/>
        <v>61737309.87</v>
      </c>
      <c r="BD116" s="9">
        <f t="shared" si="154"/>
        <v>57605046.59</v>
      </c>
      <c r="BE116" s="9">
        <f t="shared" si="154"/>
        <v>84085227.92</v>
      </c>
      <c r="BF116" s="9">
        <f t="shared" si="154"/>
        <v>58438150.25</v>
      </c>
      <c r="BG116" s="10">
        <f t="shared" ref="BG116:BI116" si="155">AVERAGE(G116,T116,AT116,AG116)</f>
        <v>1.00869960268804</v>
      </c>
      <c r="BH116" s="10">
        <f t="shared" si="155"/>
        <v>0.67615838444586</v>
      </c>
      <c r="BI116" s="10">
        <f t="shared" si="155"/>
        <v>0.0919994297067548</v>
      </c>
      <c r="BJ116" s="11"/>
      <c r="BK116" s="11"/>
      <c r="BL116" s="11"/>
      <c r="BM116" s="11"/>
      <c r="BN116" s="11"/>
    </row>
    <row r="117" s="1" customFormat="1" spans="1:66">
      <c r="A117" s="9" t="s">
        <v>215</v>
      </c>
      <c r="B117" s="9">
        <v>275665418.79</v>
      </c>
      <c r="C117" s="9">
        <v>15990775.45</v>
      </c>
      <c r="D117" s="9">
        <v>17598125.19</v>
      </c>
      <c r="E117" s="9">
        <v>27175299.43</v>
      </c>
      <c r="F117" s="9">
        <v>14097246.83</v>
      </c>
      <c r="G117" s="10">
        <v>0.488800898522152</v>
      </c>
      <c r="H117" s="10">
        <v>0.280216248677989</v>
      </c>
      <c r="I117" s="10">
        <v>0.05183312506846</v>
      </c>
      <c r="J117" s="10"/>
      <c r="K117" s="11"/>
      <c r="L117" s="11"/>
      <c r="M117" s="11"/>
      <c r="N117" s="11"/>
      <c r="O117" s="9">
        <v>271007687.39</v>
      </c>
      <c r="P117" s="9">
        <v>16105726.46</v>
      </c>
      <c r="Q117" s="9">
        <v>13654323.89</v>
      </c>
      <c r="R117" s="9">
        <v>28094350.71</v>
      </c>
      <c r="S117" s="9">
        <v>15744987.13</v>
      </c>
      <c r="T117" s="10">
        <v>0.488800898522152</v>
      </c>
      <c r="U117" s="10">
        <v>0.280216248677989</v>
      </c>
      <c r="V117" s="10">
        <v>0.05183312506846</v>
      </c>
      <c r="W117" s="10"/>
      <c r="X117" s="11"/>
      <c r="Y117" s="11"/>
      <c r="Z117" s="11"/>
      <c r="AA117" s="11"/>
      <c r="AB117" s="9">
        <v>265982556.14</v>
      </c>
      <c r="AC117" s="9">
        <v>16128624.01</v>
      </c>
      <c r="AD117" s="9">
        <v>18975237.46</v>
      </c>
      <c r="AE117" s="9">
        <v>27241802.44</v>
      </c>
      <c r="AF117" s="9">
        <v>14152227.85</v>
      </c>
      <c r="AG117" s="10">
        <v>0.438730168216005</v>
      </c>
      <c r="AH117" s="10">
        <v>0.259752046164534</v>
      </c>
      <c r="AI117" s="10">
        <v>0.0512097538187076</v>
      </c>
      <c r="AJ117" s="10"/>
      <c r="AK117" s="11"/>
      <c r="AL117" s="11"/>
      <c r="AM117" s="11"/>
      <c r="AN117" s="11"/>
      <c r="AO117" s="9">
        <v>259043522.06</v>
      </c>
      <c r="AP117" s="9">
        <v>16121599.56</v>
      </c>
      <c r="AQ117" s="9">
        <v>17329731.05</v>
      </c>
      <c r="AR117" s="9">
        <v>28100788</v>
      </c>
      <c r="AS117" s="9">
        <v>13337170.52</v>
      </c>
      <c r="AT117" s="10">
        <v>0.413642904054367</v>
      </c>
      <c r="AU117" s="10">
        <v>0.237309546621967</v>
      </c>
      <c r="AV117" s="10">
        <v>0.0542395111379995</v>
      </c>
      <c r="AW117" s="10"/>
      <c r="AX117" s="11"/>
      <c r="AY117" s="11"/>
      <c r="AZ117" s="11"/>
      <c r="BA117" s="11"/>
      <c r="BB117" s="9">
        <f t="shared" ref="BB117:BF117" si="156">SUM(B117,O117,)</f>
        <v>546673106.18</v>
      </c>
      <c r="BC117" s="9">
        <f t="shared" si="156"/>
        <v>32096501.91</v>
      </c>
      <c r="BD117" s="9">
        <f t="shared" si="156"/>
        <v>31252449.08</v>
      </c>
      <c r="BE117" s="9">
        <f t="shared" si="156"/>
        <v>55269650.14</v>
      </c>
      <c r="BF117" s="9">
        <f t="shared" si="156"/>
        <v>29842233.96</v>
      </c>
      <c r="BG117" s="10">
        <f t="shared" ref="BG117:BI117" si="157">AVERAGE(G117,T117,AT117,AG117)</f>
        <v>0.457493717328669</v>
      </c>
      <c r="BH117" s="10">
        <f t="shared" si="157"/>
        <v>0.26437352253562</v>
      </c>
      <c r="BI117" s="10">
        <f t="shared" si="157"/>
        <v>0.0522788787734068</v>
      </c>
      <c r="BJ117" s="11"/>
      <c r="BK117" s="11"/>
      <c r="BL117" s="11"/>
      <c r="BM117" s="11"/>
      <c r="BN117" s="11"/>
    </row>
    <row r="118" s="1" customFormat="1" spans="1:66">
      <c r="A118" s="9" t="s">
        <v>128</v>
      </c>
      <c r="B118" s="9">
        <v>352230819.82</v>
      </c>
      <c r="C118" s="9">
        <v>23770068.82</v>
      </c>
      <c r="D118" s="9">
        <v>22948321.94</v>
      </c>
      <c r="E118" s="9">
        <v>39452906.8</v>
      </c>
      <c r="F118" s="9">
        <v>20452163.67</v>
      </c>
      <c r="G118" s="10">
        <v>0.458589208612315</v>
      </c>
      <c r="H118" s="10">
        <v>0.26833174390803</v>
      </c>
      <c r="I118" s="10">
        <v>0.0580033370759628</v>
      </c>
      <c r="J118" s="10"/>
      <c r="K118" s="11"/>
      <c r="L118" s="11"/>
      <c r="M118" s="11"/>
      <c r="N118" s="11"/>
      <c r="O118" s="9">
        <v>363954052.46</v>
      </c>
      <c r="P118" s="9">
        <v>24704596.09</v>
      </c>
      <c r="Q118" s="9">
        <v>19905842.47</v>
      </c>
      <c r="R118" s="9">
        <v>42221099.17</v>
      </c>
      <c r="S118" s="9">
        <v>22658522.34</v>
      </c>
      <c r="T118" s="10">
        <v>0.458589208612315</v>
      </c>
      <c r="U118" s="10">
        <v>0.26833174390803</v>
      </c>
      <c r="V118" s="10">
        <v>0.0580033370759628</v>
      </c>
      <c r="W118" s="10"/>
      <c r="X118" s="11"/>
      <c r="Y118" s="11"/>
      <c r="Z118" s="11"/>
      <c r="AA118" s="11"/>
      <c r="AB118" s="9">
        <v>347299263.22</v>
      </c>
      <c r="AC118" s="9">
        <v>24069655.87</v>
      </c>
      <c r="AD118" s="9">
        <v>31531075.03</v>
      </c>
      <c r="AE118" s="9">
        <v>41886735.35</v>
      </c>
      <c r="AF118" s="9">
        <v>22611094.66</v>
      </c>
      <c r="AG118" s="10">
        <v>0.469701245047339</v>
      </c>
      <c r="AH118" s="10">
        <v>0.269907578987294</v>
      </c>
      <c r="AI118" s="10">
        <v>0.0603035188754006</v>
      </c>
      <c r="AJ118" s="10"/>
      <c r="AK118" s="11"/>
      <c r="AL118" s="11"/>
      <c r="AM118" s="11"/>
      <c r="AN118" s="11"/>
      <c r="AO118" s="9">
        <v>332611848.69</v>
      </c>
      <c r="AP118" s="9">
        <v>23557563.82</v>
      </c>
      <c r="AQ118" s="9">
        <v>22631965.49</v>
      </c>
      <c r="AR118" s="9">
        <v>41132700.19</v>
      </c>
      <c r="AS118" s="9">
        <v>20899360.73</v>
      </c>
      <c r="AT118" s="10">
        <v>0.443580687920216</v>
      </c>
      <c r="AU118" s="10">
        <v>0.254048003576981</v>
      </c>
      <c r="AV118" s="10">
        <v>0.0618328847153254</v>
      </c>
      <c r="AW118" s="10"/>
      <c r="AX118" s="11"/>
      <c r="AY118" s="11"/>
      <c r="AZ118" s="11"/>
      <c r="BA118" s="11"/>
      <c r="BB118" s="9">
        <f t="shared" ref="BB118:BF118" si="158">SUM(B118,O118,)</f>
        <v>716184872.28</v>
      </c>
      <c r="BC118" s="9">
        <f t="shared" si="158"/>
        <v>48474664.91</v>
      </c>
      <c r="BD118" s="9">
        <f t="shared" si="158"/>
        <v>42854164.41</v>
      </c>
      <c r="BE118" s="9">
        <f t="shared" si="158"/>
        <v>81674005.97</v>
      </c>
      <c r="BF118" s="9">
        <f t="shared" si="158"/>
        <v>43110686.01</v>
      </c>
      <c r="BG118" s="10">
        <f t="shared" ref="BG118:BI118" si="159">AVERAGE(G118,T118,AT118,AG118)</f>
        <v>0.457615087548047</v>
      </c>
      <c r="BH118" s="10">
        <f t="shared" si="159"/>
        <v>0.265154767595084</v>
      </c>
      <c r="BI118" s="10">
        <f t="shared" si="159"/>
        <v>0.0595357694356629</v>
      </c>
      <c r="BJ118" s="11"/>
      <c r="BK118" s="11"/>
      <c r="BL118" s="11"/>
      <c r="BM118" s="11"/>
      <c r="BN118" s="11"/>
    </row>
    <row r="119" s="1" customFormat="1" spans="1:66">
      <c r="A119" s="12" t="s">
        <v>130</v>
      </c>
      <c r="B119" s="12">
        <v>1535101246.86</v>
      </c>
      <c r="C119" s="12">
        <v>95538218.05</v>
      </c>
      <c r="D119" s="12">
        <v>99181785.56</v>
      </c>
      <c r="E119" s="12">
        <v>135290860.03</v>
      </c>
      <c r="F119" s="12">
        <v>86147844.57</v>
      </c>
      <c r="G119" s="13">
        <v>1.05270716568278</v>
      </c>
      <c r="H119" s="13">
        <v>0.727221492690309</v>
      </c>
      <c r="I119" s="13">
        <v>0.0910240977338867</v>
      </c>
      <c r="J119" s="13"/>
      <c r="K119" s="11"/>
      <c r="L119" s="11"/>
      <c r="M119" s="11"/>
      <c r="N119" s="11"/>
      <c r="O119" s="12">
        <v>1546827136.67</v>
      </c>
      <c r="P119" s="12">
        <v>97975426.73</v>
      </c>
      <c r="Q119" s="12">
        <v>84245519.29</v>
      </c>
      <c r="R119" s="12">
        <v>142378030.98</v>
      </c>
      <c r="S119" s="12">
        <v>94458893.63</v>
      </c>
      <c r="T119" s="13">
        <v>1.05270716568278</v>
      </c>
      <c r="U119" s="13">
        <v>0.727221492690309</v>
      </c>
      <c r="V119" s="13">
        <v>0.0910240977338867</v>
      </c>
      <c r="W119" s="13"/>
      <c r="X119" s="11"/>
      <c r="Y119" s="11"/>
      <c r="Z119" s="11"/>
      <c r="AA119" s="11"/>
      <c r="AB119" s="12">
        <v>1535516442</v>
      </c>
      <c r="AC119" s="12">
        <v>96989722.43</v>
      </c>
      <c r="AD119" s="12">
        <v>111959063.96</v>
      </c>
      <c r="AE119" s="12">
        <v>140646702.62</v>
      </c>
      <c r="AF119" s="12">
        <v>91583290.32</v>
      </c>
      <c r="AG119" s="13">
        <v>1.12079406599997</v>
      </c>
      <c r="AH119" s="13">
        <v>0.824357807434117</v>
      </c>
      <c r="AI119" s="13">
        <v>0.0889188807986197</v>
      </c>
      <c r="AJ119" s="13"/>
      <c r="AK119" s="11"/>
      <c r="AL119" s="11"/>
      <c r="AM119" s="11"/>
      <c r="AN119" s="11"/>
      <c r="AO119" s="12">
        <v>1531966255.27</v>
      </c>
      <c r="AP119" s="12">
        <v>97848428.21</v>
      </c>
      <c r="AQ119" s="12">
        <v>109923414.08</v>
      </c>
      <c r="AR119" s="12">
        <v>151890830.5</v>
      </c>
      <c r="AS119" s="12">
        <v>87343941.12</v>
      </c>
      <c r="AT119" s="13">
        <v>0.689433400276291</v>
      </c>
      <c r="AU119" s="13">
        <v>0.529468989922483</v>
      </c>
      <c r="AV119" s="13">
        <v>0.083640996961958</v>
      </c>
      <c r="AW119" s="13"/>
      <c r="AX119" s="11"/>
      <c r="AY119" s="11"/>
      <c r="AZ119" s="11"/>
      <c r="BA119" s="11"/>
      <c r="BB119" s="12">
        <v>1535101246.86</v>
      </c>
      <c r="BC119" s="12">
        <v>95538218.05</v>
      </c>
      <c r="BD119" s="12">
        <v>99181785.56</v>
      </c>
      <c r="BE119" s="12">
        <v>135290860.03</v>
      </c>
      <c r="BF119" s="12">
        <v>86147844.57</v>
      </c>
      <c r="BG119" s="13">
        <v>1.05270716568278</v>
      </c>
      <c r="BH119" s="13">
        <v>0.727221492690309</v>
      </c>
      <c r="BI119" s="13">
        <v>0.0910240977338867</v>
      </c>
      <c r="BJ119" s="11"/>
      <c r="BK119" s="11"/>
      <c r="BL119" s="11"/>
      <c r="BM119" s="11"/>
      <c r="BN119" s="11"/>
    </row>
    <row r="120" s="1" customFormat="1" spans="1:66">
      <c r="A120" s="9" t="s">
        <v>132</v>
      </c>
      <c r="B120" s="9">
        <v>500046160</v>
      </c>
      <c r="C120" s="9">
        <v>31322504.66</v>
      </c>
      <c r="D120" s="9">
        <v>31361302.45</v>
      </c>
      <c r="E120" s="9">
        <v>42124743.55</v>
      </c>
      <c r="F120" s="9">
        <v>29755283.53</v>
      </c>
      <c r="G120" s="10">
        <v>1.01113847347657</v>
      </c>
      <c r="H120" s="10">
        <v>0.840601944571257</v>
      </c>
      <c r="I120" s="10">
        <v>0.0746389791080571</v>
      </c>
      <c r="J120" s="10"/>
      <c r="K120" s="11"/>
      <c r="L120" s="11"/>
      <c r="M120" s="11"/>
      <c r="N120" s="11"/>
      <c r="O120" s="9">
        <v>511625088.06</v>
      </c>
      <c r="P120" s="9">
        <v>31979769.4</v>
      </c>
      <c r="Q120" s="9">
        <v>28818280.21</v>
      </c>
      <c r="R120" s="9">
        <v>45212526.37</v>
      </c>
      <c r="S120" s="9">
        <v>31323319.14</v>
      </c>
      <c r="T120" s="10">
        <v>1.01113847347657</v>
      </c>
      <c r="U120" s="10">
        <v>0.840601944571257</v>
      </c>
      <c r="V120" s="10">
        <v>0.0746389791080571</v>
      </c>
      <c r="W120" s="10"/>
      <c r="X120" s="11"/>
      <c r="Y120" s="11"/>
      <c r="Z120" s="11"/>
      <c r="AA120" s="11"/>
      <c r="AB120" s="9">
        <v>490372544.03</v>
      </c>
      <c r="AC120" s="9">
        <v>31966615.23</v>
      </c>
      <c r="AD120" s="9">
        <v>41426827.94</v>
      </c>
      <c r="AE120" s="9">
        <v>45147783.53</v>
      </c>
      <c r="AF120" s="9">
        <v>32144957.3</v>
      </c>
      <c r="AG120" s="10">
        <v>0.980990208331606</v>
      </c>
      <c r="AH120" s="10">
        <v>0.828496091665303</v>
      </c>
      <c r="AI120" s="10">
        <v>0.0766805743617144</v>
      </c>
      <c r="AJ120" s="10"/>
      <c r="AK120" s="11"/>
      <c r="AL120" s="11"/>
      <c r="AM120" s="11"/>
      <c r="AN120" s="11"/>
      <c r="AO120" s="9">
        <v>510860524.41</v>
      </c>
      <c r="AP120" s="9">
        <v>32677488.91</v>
      </c>
      <c r="AQ120" s="9">
        <v>36115022.68</v>
      </c>
      <c r="AR120" s="9">
        <v>44817553.36</v>
      </c>
      <c r="AS120" s="9">
        <v>28665170.93</v>
      </c>
      <c r="AT120" s="10">
        <v>0.934767062573186</v>
      </c>
      <c r="AU120" s="10">
        <v>0.794236057071971</v>
      </c>
      <c r="AV120" s="10">
        <v>0.0706916710953073</v>
      </c>
      <c r="AW120" s="10"/>
      <c r="AX120" s="11"/>
      <c r="AY120" s="11"/>
      <c r="AZ120" s="11"/>
      <c r="BA120" s="11"/>
      <c r="BB120" s="9">
        <f t="shared" ref="BB120:BF120" si="160">SUM(B120,O120,)</f>
        <v>1011671248.06</v>
      </c>
      <c r="BC120" s="9">
        <f t="shared" si="160"/>
        <v>63302274.06</v>
      </c>
      <c r="BD120" s="9">
        <f t="shared" si="160"/>
        <v>60179582.66</v>
      </c>
      <c r="BE120" s="9">
        <f t="shared" si="160"/>
        <v>87337269.92</v>
      </c>
      <c r="BF120" s="9">
        <f t="shared" si="160"/>
        <v>61078602.67</v>
      </c>
      <c r="BG120" s="10">
        <f t="shared" ref="BG120:BI120" si="161">AVERAGE(G120,T120,AT120,AG120)</f>
        <v>0.984508554464483</v>
      </c>
      <c r="BH120" s="10">
        <f t="shared" si="161"/>
        <v>0.825984009469947</v>
      </c>
      <c r="BI120" s="10">
        <f t="shared" si="161"/>
        <v>0.074162550918284</v>
      </c>
      <c r="BJ120" s="11"/>
      <c r="BK120" s="11"/>
      <c r="BL120" s="11"/>
      <c r="BM120" s="11"/>
      <c r="BN120" s="11"/>
    </row>
    <row r="121" s="1" customFormat="1" spans="1:66">
      <c r="A121" s="9" t="s">
        <v>133</v>
      </c>
      <c r="B121" s="9">
        <v>349117360.9</v>
      </c>
      <c r="C121" s="9">
        <v>22943430.89</v>
      </c>
      <c r="D121" s="9">
        <v>25885863.84</v>
      </c>
      <c r="E121" s="9">
        <v>33038286.69</v>
      </c>
      <c r="F121" s="9">
        <v>22223993.66</v>
      </c>
      <c r="G121" s="10">
        <v>1.00675072894758</v>
      </c>
      <c r="H121" s="10">
        <v>0.847962341684568</v>
      </c>
      <c r="I121" s="10">
        <v>0.0747466956700855</v>
      </c>
      <c r="J121" s="10"/>
      <c r="K121" s="11"/>
      <c r="L121" s="11"/>
      <c r="M121" s="11"/>
      <c r="N121" s="11"/>
      <c r="O121" s="9">
        <v>344825014.18</v>
      </c>
      <c r="P121" s="9">
        <v>23019161.95</v>
      </c>
      <c r="Q121" s="9">
        <v>21441567.02</v>
      </c>
      <c r="R121" s="9">
        <v>33237005.41</v>
      </c>
      <c r="S121" s="9">
        <v>23321472.58</v>
      </c>
      <c r="T121" s="10">
        <v>1.00675072894758</v>
      </c>
      <c r="U121" s="10">
        <v>0.847962341684568</v>
      </c>
      <c r="V121" s="10">
        <v>0.0747466956700855</v>
      </c>
      <c r="W121" s="10"/>
      <c r="X121" s="11"/>
      <c r="Y121" s="11"/>
      <c r="Z121" s="11"/>
      <c r="AA121" s="11"/>
      <c r="AB121" s="9">
        <v>330084893.65</v>
      </c>
      <c r="AC121" s="9">
        <v>22066407.38</v>
      </c>
      <c r="AD121" s="9">
        <v>25163764</v>
      </c>
      <c r="AE121" s="9">
        <v>30658744.67</v>
      </c>
      <c r="AF121" s="9">
        <v>20767073.68</v>
      </c>
      <c r="AG121" s="10">
        <v>0.969695840772299</v>
      </c>
      <c r="AH121" s="10">
        <v>0.83530650045316</v>
      </c>
      <c r="AI121" s="10">
        <v>0.0739695354293922</v>
      </c>
      <c r="AJ121" s="10"/>
      <c r="AK121" s="11"/>
      <c r="AL121" s="11"/>
      <c r="AM121" s="11"/>
      <c r="AN121" s="11"/>
      <c r="AO121" s="9">
        <v>336057282.57</v>
      </c>
      <c r="AP121" s="9">
        <v>22357311.47</v>
      </c>
      <c r="AQ121" s="9">
        <v>24313106.32</v>
      </c>
      <c r="AR121" s="9">
        <v>32036023.32</v>
      </c>
      <c r="AS121" s="9">
        <v>21784858.16</v>
      </c>
      <c r="AT121" s="10">
        <v>0.965319695215598</v>
      </c>
      <c r="AU121" s="10">
        <v>0.815100417451449</v>
      </c>
      <c r="AV121" s="10">
        <v>0.0763483626965017</v>
      </c>
      <c r="AW121" s="10"/>
      <c r="AX121" s="11"/>
      <c r="AY121" s="11"/>
      <c r="AZ121" s="11"/>
      <c r="BA121" s="11"/>
      <c r="BB121" s="9">
        <f t="shared" ref="BB121:BF121" si="162">SUM(B121,O121,)</f>
        <v>693942375.08</v>
      </c>
      <c r="BC121" s="9">
        <f t="shared" si="162"/>
        <v>45962592.84</v>
      </c>
      <c r="BD121" s="9">
        <f t="shared" si="162"/>
        <v>47327430.86</v>
      </c>
      <c r="BE121" s="9">
        <f t="shared" si="162"/>
        <v>66275292.1</v>
      </c>
      <c r="BF121" s="9">
        <f t="shared" si="162"/>
        <v>45545466.24</v>
      </c>
      <c r="BG121" s="10">
        <f t="shared" ref="BG121:BI121" si="163">AVERAGE(G121,T121,AT121,AG121)</f>
        <v>0.987129248470763</v>
      </c>
      <c r="BH121" s="10">
        <f t="shared" si="163"/>
        <v>0.836582900318436</v>
      </c>
      <c r="BI121" s="10">
        <f t="shared" si="163"/>
        <v>0.0749528223665162</v>
      </c>
      <c r="BJ121" s="11"/>
      <c r="BK121" s="11"/>
      <c r="BL121" s="11"/>
      <c r="BM121" s="11"/>
      <c r="BN121" s="11"/>
    </row>
    <row r="122" s="1" customFormat="1" spans="1:66">
      <c r="A122" s="9" t="s">
        <v>131</v>
      </c>
      <c r="B122" s="9">
        <v>707313057.91</v>
      </c>
      <c r="C122" s="9">
        <v>43040658.92</v>
      </c>
      <c r="D122" s="9">
        <v>58656066.28</v>
      </c>
      <c r="E122" s="9">
        <v>67010190.84</v>
      </c>
      <c r="F122" s="9">
        <v>39509708.16</v>
      </c>
      <c r="G122" s="10">
        <v>0.988594735500016</v>
      </c>
      <c r="H122" s="10">
        <v>0.801230597951494</v>
      </c>
      <c r="I122" s="10">
        <v>0.0843986400872422</v>
      </c>
      <c r="J122" s="10"/>
      <c r="K122" s="11"/>
      <c r="L122" s="11"/>
      <c r="M122" s="11"/>
      <c r="N122" s="11"/>
      <c r="O122" s="9">
        <v>704317655.8</v>
      </c>
      <c r="P122" s="9">
        <v>43659748.06</v>
      </c>
      <c r="Q122" s="9">
        <v>38001072.66</v>
      </c>
      <c r="R122" s="9">
        <v>69735045.74</v>
      </c>
      <c r="S122" s="9">
        <v>42703485.29</v>
      </c>
      <c r="T122" s="10">
        <v>0.988594735500016</v>
      </c>
      <c r="U122" s="10">
        <v>0.801230597951494</v>
      </c>
      <c r="V122" s="10">
        <v>0.0843986400872422</v>
      </c>
      <c r="W122" s="10"/>
      <c r="X122" s="11"/>
      <c r="Y122" s="11"/>
      <c r="Z122" s="11"/>
      <c r="AA122" s="11"/>
      <c r="AB122" s="9">
        <v>688792521.44</v>
      </c>
      <c r="AC122" s="9">
        <v>44442337.49</v>
      </c>
      <c r="AD122" s="9">
        <v>68392313.7499999</v>
      </c>
      <c r="AE122" s="9">
        <v>69952106.25</v>
      </c>
      <c r="AF122" s="9">
        <v>42611324.36</v>
      </c>
      <c r="AG122" s="10">
        <v>0.978561864419848</v>
      </c>
      <c r="AH122" s="10">
        <v>0.7995965468306</v>
      </c>
      <c r="AI122" s="10">
        <v>0.0877185243609704</v>
      </c>
      <c r="AJ122" s="10"/>
      <c r="AK122" s="11"/>
      <c r="AL122" s="11"/>
      <c r="AM122" s="11"/>
      <c r="AN122" s="11"/>
      <c r="AO122" s="9">
        <v>752071456.71</v>
      </c>
      <c r="AP122" s="9">
        <v>46296076.34</v>
      </c>
      <c r="AQ122" s="9">
        <v>48282050.03</v>
      </c>
      <c r="AR122" s="9">
        <v>72331761.78</v>
      </c>
      <c r="AS122" s="9">
        <v>41007691.38</v>
      </c>
      <c r="AT122" s="10">
        <v>0.939165273677255</v>
      </c>
      <c r="AU122" s="10">
        <v>0.776624520866847</v>
      </c>
      <c r="AV122" s="10">
        <v>0.0872097058835</v>
      </c>
      <c r="AW122" s="10"/>
      <c r="AX122" s="11"/>
      <c r="AY122" s="11"/>
      <c r="AZ122" s="11"/>
      <c r="BA122" s="11"/>
      <c r="BB122" s="9">
        <f t="shared" ref="BB122:BF122" si="164">SUM(B122,O122,)</f>
        <v>1411630713.71</v>
      </c>
      <c r="BC122" s="9">
        <f t="shared" si="164"/>
        <v>86700406.98</v>
      </c>
      <c r="BD122" s="9">
        <f t="shared" si="164"/>
        <v>96657138.94</v>
      </c>
      <c r="BE122" s="9">
        <f t="shared" si="164"/>
        <v>136745236.58</v>
      </c>
      <c r="BF122" s="9">
        <f t="shared" si="164"/>
        <v>82213193.45</v>
      </c>
      <c r="BG122" s="10">
        <f t="shared" ref="BG122:BI122" si="165">AVERAGE(G122,T122,AT122,AG122)</f>
        <v>0.973729152274284</v>
      </c>
      <c r="BH122" s="10">
        <f t="shared" si="165"/>
        <v>0.794670565900109</v>
      </c>
      <c r="BI122" s="10">
        <f t="shared" si="165"/>
        <v>0.0859313776047387</v>
      </c>
      <c r="BJ122" s="11"/>
      <c r="BK122" s="11"/>
      <c r="BL122" s="11"/>
      <c r="BM122" s="11"/>
      <c r="BN122" s="11"/>
    </row>
    <row r="123" s="1" customFormat="1" spans="1:66">
      <c r="A123" s="12" t="s">
        <v>134</v>
      </c>
      <c r="B123" s="12">
        <v>1556476578.81</v>
      </c>
      <c r="C123" s="12">
        <v>97306594.47</v>
      </c>
      <c r="D123" s="12">
        <v>115903232.57</v>
      </c>
      <c r="E123" s="12">
        <v>142173221.08</v>
      </c>
      <c r="F123" s="12">
        <v>91488985.35</v>
      </c>
      <c r="G123" s="13">
        <v>1.00193203528681</v>
      </c>
      <c r="H123" s="13">
        <v>0.823697822835761</v>
      </c>
      <c r="I123" s="13">
        <v>0.0789194973312355</v>
      </c>
      <c r="J123" s="13"/>
      <c r="K123" s="11"/>
      <c r="L123" s="11"/>
      <c r="M123" s="11"/>
      <c r="N123" s="11"/>
      <c r="O123" s="12">
        <v>1560767758.04</v>
      </c>
      <c r="P123" s="12">
        <v>98658679.41</v>
      </c>
      <c r="Q123" s="12">
        <v>88260919.89</v>
      </c>
      <c r="R123" s="12">
        <v>148184577.52</v>
      </c>
      <c r="S123" s="12">
        <v>97348277.01</v>
      </c>
      <c r="T123" s="13">
        <v>1.00193203528681</v>
      </c>
      <c r="U123" s="13">
        <v>0.823697822835761</v>
      </c>
      <c r="V123" s="13">
        <v>0.0789194973312355</v>
      </c>
      <c r="W123" s="13"/>
      <c r="X123" s="11"/>
      <c r="Y123" s="11"/>
      <c r="Z123" s="11"/>
      <c r="AA123" s="11"/>
      <c r="AB123" s="12">
        <v>1509249959.12</v>
      </c>
      <c r="AC123" s="12">
        <v>98475360.1</v>
      </c>
      <c r="AD123" s="12">
        <v>134982905.69</v>
      </c>
      <c r="AE123" s="12">
        <v>145758634.45</v>
      </c>
      <c r="AF123" s="12">
        <v>95523355.34</v>
      </c>
      <c r="AG123" s="13">
        <v>0.975533972750097</v>
      </c>
      <c r="AH123" s="13">
        <v>0.813909986742543</v>
      </c>
      <c r="AI123" s="13">
        <v>0.0807438031019402</v>
      </c>
      <c r="AJ123" s="13"/>
      <c r="AK123" s="11"/>
      <c r="AL123" s="11"/>
      <c r="AM123" s="11"/>
      <c r="AN123" s="11"/>
      <c r="AO123" s="12">
        <v>1598989263.69</v>
      </c>
      <c r="AP123" s="12">
        <v>101330876.72</v>
      </c>
      <c r="AQ123" s="12">
        <v>108710179.03</v>
      </c>
      <c r="AR123" s="12">
        <v>149185338.46</v>
      </c>
      <c r="AS123" s="12">
        <v>91457720.47</v>
      </c>
      <c r="AT123" s="13">
        <v>0.945470535396973</v>
      </c>
      <c r="AU123" s="13">
        <v>0.788989465787396</v>
      </c>
      <c r="AV123" s="13">
        <v>0.0772479525795111</v>
      </c>
      <c r="AW123" s="13"/>
      <c r="AX123" s="11"/>
      <c r="AY123" s="11"/>
      <c r="AZ123" s="11"/>
      <c r="BA123" s="11"/>
      <c r="BB123" s="12">
        <v>1556476578.81</v>
      </c>
      <c r="BC123" s="12">
        <v>97306594.47</v>
      </c>
      <c r="BD123" s="12">
        <v>115903232.57</v>
      </c>
      <c r="BE123" s="12">
        <v>142173221.08</v>
      </c>
      <c r="BF123" s="12">
        <v>91488985.35</v>
      </c>
      <c r="BG123" s="13">
        <v>1.00193203528681</v>
      </c>
      <c r="BH123" s="13">
        <v>0.823697822835761</v>
      </c>
      <c r="BI123" s="13">
        <v>0.0789194973312355</v>
      </c>
      <c r="BJ123" s="11"/>
      <c r="BK123" s="11"/>
      <c r="BL123" s="11"/>
      <c r="BM123" s="11"/>
      <c r="BN123" s="11"/>
    </row>
    <row r="124" s="1" customFormat="1" spans="1:66">
      <c r="A124" s="9" t="s">
        <v>135</v>
      </c>
      <c r="B124" s="9">
        <v>583485189.84</v>
      </c>
      <c r="C124" s="9">
        <v>38194155.71</v>
      </c>
      <c r="D124" s="9">
        <v>43351781.23</v>
      </c>
      <c r="E124" s="9">
        <v>63541661.25</v>
      </c>
      <c r="F124" s="9">
        <v>35158121.43</v>
      </c>
      <c r="G124" s="10">
        <v>0.486179534955254</v>
      </c>
      <c r="H124" s="10">
        <v>0.288955188848008</v>
      </c>
      <c r="I124" s="10">
        <v>0.0570587957206602</v>
      </c>
      <c r="J124" s="10"/>
      <c r="K124" s="11"/>
      <c r="L124" s="11"/>
      <c r="M124" s="11"/>
      <c r="N124" s="11"/>
      <c r="O124" s="9">
        <v>583298599.71</v>
      </c>
      <c r="P124" s="9">
        <v>39561919.46</v>
      </c>
      <c r="Q124" s="9">
        <v>34355800.09</v>
      </c>
      <c r="R124" s="9">
        <v>66564631.29</v>
      </c>
      <c r="S124" s="9">
        <v>38468391.21</v>
      </c>
      <c r="T124" s="10">
        <v>0.486179534955254</v>
      </c>
      <c r="U124" s="10">
        <v>0.288955188848008</v>
      </c>
      <c r="V124" s="10">
        <v>0.0570587957206602</v>
      </c>
      <c r="W124" s="10"/>
      <c r="X124" s="11"/>
      <c r="Y124" s="11"/>
      <c r="Z124" s="11"/>
      <c r="AA124" s="11"/>
      <c r="AB124" s="9">
        <v>562675045.11</v>
      </c>
      <c r="AC124" s="9">
        <v>39116556.91</v>
      </c>
      <c r="AD124" s="9">
        <v>41191375.79</v>
      </c>
      <c r="AE124" s="9">
        <v>65600065.04</v>
      </c>
      <c r="AF124" s="9">
        <v>36897106.95</v>
      </c>
      <c r="AG124" s="10">
        <v>0.471630300116821</v>
      </c>
      <c r="AH124" s="10">
        <v>0.281227670487078</v>
      </c>
      <c r="AI124" s="10">
        <v>0.0582930286406922</v>
      </c>
      <c r="AJ124" s="10"/>
      <c r="AK124" s="11"/>
      <c r="AL124" s="11"/>
      <c r="AM124" s="11"/>
      <c r="AN124" s="11"/>
      <c r="AO124" s="9">
        <v>571171807.219999</v>
      </c>
      <c r="AP124" s="9">
        <v>39912402.54</v>
      </c>
      <c r="AQ124" s="9">
        <v>47846839.5</v>
      </c>
      <c r="AR124" s="9">
        <v>67122990.59</v>
      </c>
      <c r="AS124" s="9">
        <v>36706721.01</v>
      </c>
      <c r="AT124" s="10">
        <v>0.459841035292385</v>
      </c>
      <c r="AU124" s="10">
        <v>0.273428825856491</v>
      </c>
      <c r="AV124" s="10">
        <v>0.0587590193891924</v>
      </c>
      <c r="AW124" s="10"/>
      <c r="AX124" s="11"/>
      <c r="AY124" s="11"/>
      <c r="AZ124" s="11"/>
      <c r="BA124" s="11"/>
      <c r="BB124" s="9">
        <f t="shared" ref="BB124:BF124" si="166">SUM(B124,O124,)</f>
        <v>1166783789.55</v>
      </c>
      <c r="BC124" s="9">
        <f t="shared" si="166"/>
        <v>77756075.17</v>
      </c>
      <c r="BD124" s="9">
        <f t="shared" si="166"/>
        <v>77707581.3199999</v>
      </c>
      <c r="BE124" s="9">
        <f t="shared" si="166"/>
        <v>130106292.54</v>
      </c>
      <c r="BF124" s="9">
        <f t="shared" si="166"/>
        <v>73626512.64</v>
      </c>
      <c r="BG124" s="10">
        <f t="shared" ref="BG124:BI124" si="167">AVERAGE(G124,T124,AT124,AG124)</f>
        <v>0.475957601329928</v>
      </c>
      <c r="BH124" s="10">
        <f t="shared" si="167"/>
        <v>0.283141718509896</v>
      </c>
      <c r="BI124" s="10">
        <f t="shared" si="167"/>
        <v>0.0577924098678013</v>
      </c>
      <c r="BJ124" s="11"/>
      <c r="BK124" s="11"/>
      <c r="BL124" s="11"/>
      <c r="BM124" s="11"/>
      <c r="BN124" s="11"/>
    </row>
    <row r="125" s="1" customFormat="1" spans="1:66">
      <c r="A125" s="9" t="s">
        <v>136</v>
      </c>
      <c r="B125" s="9">
        <v>448116194.65</v>
      </c>
      <c r="C125" s="9">
        <v>32623121.4</v>
      </c>
      <c r="D125" s="9">
        <v>33972150.23</v>
      </c>
      <c r="E125" s="9">
        <v>40068149.73</v>
      </c>
      <c r="F125" s="9">
        <v>31790213.11</v>
      </c>
      <c r="G125" s="10">
        <v>0.970426180594031</v>
      </c>
      <c r="H125" s="10">
        <v>0.882973975536265</v>
      </c>
      <c r="I125" s="10">
        <v>0.0742430745001532</v>
      </c>
      <c r="J125" s="10"/>
      <c r="K125" s="11"/>
      <c r="L125" s="11"/>
      <c r="M125" s="11"/>
      <c r="N125" s="11"/>
      <c r="O125" s="9">
        <v>477079297.41</v>
      </c>
      <c r="P125" s="9">
        <v>34449247.07</v>
      </c>
      <c r="Q125" s="9">
        <v>30987189.8</v>
      </c>
      <c r="R125" s="9">
        <v>42129104.83</v>
      </c>
      <c r="S125" s="9">
        <v>32459998.35</v>
      </c>
      <c r="T125" s="10">
        <v>0.970426180594031</v>
      </c>
      <c r="U125" s="10">
        <v>0.882973975536265</v>
      </c>
      <c r="V125" s="10">
        <v>0.0742430745001532</v>
      </c>
      <c r="W125" s="10"/>
      <c r="X125" s="11"/>
      <c r="Y125" s="11"/>
      <c r="Z125" s="11"/>
      <c r="AA125" s="11"/>
      <c r="AB125" s="9">
        <v>468095824.13</v>
      </c>
      <c r="AC125" s="9">
        <v>34187939.68</v>
      </c>
      <c r="AD125" s="9">
        <v>50522680.07</v>
      </c>
      <c r="AE125" s="9">
        <v>43023295.44</v>
      </c>
      <c r="AF125" s="9">
        <v>33678998.83</v>
      </c>
      <c r="AG125" s="10">
        <v>0.992374415782695</v>
      </c>
      <c r="AH125" s="10">
        <v>0.889301244184382</v>
      </c>
      <c r="AI125" s="10">
        <v>0.0775278970710179</v>
      </c>
      <c r="AJ125" s="10"/>
      <c r="AK125" s="11"/>
      <c r="AL125" s="11"/>
      <c r="AM125" s="11"/>
      <c r="AN125" s="11"/>
      <c r="AO125" s="9">
        <v>498587980.56</v>
      </c>
      <c r="AP125" s="9">
        <v>34053070.73</v>
      </c>
      <c r="AQ125" s="9">
        <v>35332948.25</v>
      </c>
      <c r="AR125" s="9">
        <v>42838306.61</v>
      </c>
      <c r="AS125" s="9">
        <v>31972625.81</v>
      </c>
      <c r="AT125" s="10">
        <v>0.968701695465213</v>
      </c>
      <c r="AU125" s="10">
        <v>0.87071124183363</v>
      </c>
      <c r="AV125" s="10">
        <v>0.0760375439497686</v>
      </c>
      <c r="AW125" s="10"/>
      <c r="AX125" s="11"/>
      <c r="AY125" s="11"/>
      <c r="AZ125" s="11"/>
      <c r="BA125" s="11"/>
      <c r="BB125" s="9">
        <f t="shared" ref="BB125:BF125" si="168">SUM(B125,O125,)</f>
        <v>925195492.06</v>
      </c>
      <c r="BC125" s="9">
        <f t="shared" si="168"/>
        <v>67072368.47</v>
      </c>
      <c r="BD125" s="9">
        <f t="shared" si="168"/>
        <v>64959340.03</v>
      </c>
      <c r="BE125" s="9">
        <f t="shared" si="168"/>
        <v>82197254.56</v>
      </c>
      <c r="BF125" s="9">
        <f t="shared" si="168"/>
        <v>64250211.46</v>
      </c>
      <c r="BG125" s="10">
        <f t="shared" ref="BG125:BI125" si="169">AVERAGE(G125,T125,AT125,AG125)</f>
        <v>0.975482118108992</v>
      </c>
      <c r="BH125" s="10">
        <f t="shared" si="169"/>
        <v>0.881490109272635</v>
      </c>
      <c r="BI125" s="10">
        <f t="shared" si="169"/>
        <v>0.0755128975052732</v>
      </c>
      <c r="BJ125" s="11"/>
      <c r="BK125" s="11"/>
      <c r="BL125" s="11"/>
      <c r="BM125" s="11"/>
      <c r="BN125" s="11"/>
    </row>
    <row r="126" s="1" customFormat="1" spans="1:66">
      <c r="A126" s="9" t="s">
        <v>137</v>
      </c>
      <c r="B126" s="9">
        <v>584048585.71</v>
      </c>
      <c r="C126" s="9">
        <v>35165731.81</v>
      </c>
      <c r="D126" s="9">
        <v>35700439.55</v>
      </c>
      <c r="E126" s="9">
        <v>40000400.49</v>
      </c>
      <c r="F126" s="9">
        <v>32935823.95</v>
      </c>
      <c r="G126" s="10">
        <v>1.05304282832093</v>
      </c>
      <c r="H126" s="10">
        <v>0.878115736594033</v>
      </c>
      <c r="I126" s="10">
        <v>0.0683715670793383</v>
      </c>
      <c r="J126" s="10"/>
      <c r="K126" s="11"/>
      <c r="L126" s="11"/>
      <c r="M126" s="11"/>
      <c r="N126" s="11"/>
      <c r="O126" s="9">
        <v>594594876.34</v>
      </c>
      <c r="P126" s="9">
        <v>36048605.83</v>
      </c>
      <c r="Q126" s="9">
        <v>31932357.61</v>
      </c>
      <c r="R126" s="9">
        <v>42682218.68</v>
      </c>
      <c r="S126" s="9">
        <v>38319405.52</v>
      </c>
      <c r="T126" s="10">
        <v>1.05304282832093</v>
      </c>
      <c r="U126" s="10">
        <v>0.878115736594033</v>
      </c>
      <c r="V126" s="10">
        <v>0.0683715670793383</v>
      </c>
      <c r="W126" s="10"/>
      <c r="X126" s="11"/>
      <c r="Y126" s="11"/>
      <c r="Z126" s="11"/>
      <c r="AA126" s="11"/>
      <c r="AB126" s="9">
        <v>581765604.95</v>
      </c>
      <c r="AC126" s="9">
        <v>35777650.48</v>
      </c>
      <c r="AD126" s="9">
        <v>54423361.94</v>
      </c>
      <c r="AE126" s="9">
        <v>43975995.6</v>
      </c>
      <c r="AF126" s="9">
        <v>39677072.8</v>
      </c>
      <c r="AG126" s="10">
        <v>1.07718006796038</v>
      </c>
      <c r="AH126" s="10">
        <v>0.893368918689263</v>
      </c>
      <c r="AI126" s="10">
        <v>0.0707523161490649</v>
      </c>
      <c r="AJ126" s="10"/>
      <c r="AK126" s="11"/>
      <c r="AL126" s="11"/>
      <c r="AM126" s="11"/>
      <c r="AN126" s="11"/>
      <c r="AO126" s="9">
        <v>573124978.22</v>
      </c>
      <c r="AP126" s="9">
        <v>35787481.48</v>
      </c>
      <c r="AQ126" s="9">
        <v>37973479.94</v>
      </c>
      <c r="AR126" s="9">
        <v>40222809.96</v>
      </c>
      <c r="AS126" s="9">
        <v>32818366.99</v>
      </c>
      <c r="AT126" s="10">
        <v>0.924321977754657</v>
      </c>
      <c r="AU126" s="10">
        <v>0.817757301043196</v>
      </c>
      <c r="AV126" s="10">
        <v>0.0681753389019166</v>
      </c>
      <c r="AW126" s="10"/>
      <c r="AX126" s="11"/>
      <c r="AY126" s="11"/>
      <c r="AZ126" s="11"/>
      <c r="BA126" s="11"/>
      <c r="BB126" s="9">
        <f t="shared" ref="BB126:BF126" si="170">SUM(B126,O126,)</f>
        <v>1178643462.05</v>
      </c>
      <c r="BC126" s="9">
        <f t="shared" si="170"/>
        <v>71214337.64</v>
      </c>
      <c r="BD126" s="9">
        <f t="shared" si="170"/>
        <v>67632797.16</v>
      </c>
      <c r="BE126" s="9">
        <f t="shared" si="170"/>
        <v>82682619.17</v>
      </c>
      <c r="BF126" s="9">
        <f t="shared" si="170"/>
        <v>71255229.47</v>
      </c>
      <c r="BG126" s="10">
        <f t="shared" ref="BG126:BI126" si="171">AVERAGE(G126,T126,AT126,AG126)</f>
        <v>1.02689692558922</v>
      </c>
      <c r="BH126" s="10">
        <f t="shared" si="171"/>
        <v>0.866839423230131</v>
      </c>
      <c r="BI126" s="10">
        <f t="shared" si="171"/>
        <v>0.0689176973024145</v>
      </c>
      <c r="BJ126" s="11"/>
      <c r="BK126" s="11"/>
      <c r="BL126" s="11"/>
      <c r="BM126" s="11"/>
      <c r="BN126" s="11"/>
    </row>
    <row r="127" s="1" customFormat="1" spans="1:66">
      <c r="A127" s="12" t="s">
        <v>138</v>
      </c>
      <c r="B127" s="12">
        <v>1615649970.2</v>
      </c>
      <c r="C127" s="12">
        <v>105983008.92</v>
      </c>
      <c r="D127" s="12">
        <v>113024371.01</v>
      </c>
      <c r="E127" s="12">
        <v>143610211.47</v>
      </c>
      <c r="F127" s="12">
        <v>99884158.49</v>
      </c>
      <c r="G127" s="13">
        <v>1.01166421445098</v>
      </c>
      <c r="H127" s="13">
        <v>0.799569583679269</v>
      </c>
      <c r="I127" s="13">
        <v>0.0779460774082379</v>
      </c>
      <c r="J127" s="13"/>
      <c r="K127" s="11"/>
      <c r="L127" s="11"/>
      <c r="M127" s="11"/>
      <c r="N127" s="11"/>
      <c r="O127" s="12">
        <v>1654972773.46</v>
      </c>
      <c r="P127" s="12">
        <v>110059772.36</v>
      </c>
      <c r="Q127" s="12">
        <v>97275347.5</v>
      </c>
      <c r="R127" s="12">
        <v>151375954.8</v>
      </c>
      <c r="S127" s="12">
        <v>109247795.08</v>
      </c>
      <c r="T127" s="13">
        <v>1.01166421445098</v>
      </c>
      <c r="U127" s="13">
        <v>0.799569583679269</v>
      </c>
      <c r="V127" s="13">
        <v>0.0779460774082379</v>
      </c>
      <c r="W127" s="13"/>
      <c r="X127" s="11"/>
      <c r="Y127" s="11"/>
      <c r="Z127" s="11"/>
      <c r="AA127" s="11"/>
      <c r="AB127" s="12">
        <v>1612536474.19</v>
      </c>
      <c r="AC127" s="12">
        <v>109082147.07</v>
      </c>
      <c r="AD127" s="12">
        <v>146137417.8</v>
      </c>
      <c r="AE127" s="12">
        <v>152599356.08</v>
      </c>
      <c r="AF127" s="12">
        <v>110253178.58</v>
      </c>
      <c r="AG127" s="13">
        <v>1.02031132125051</v>
      </c>
      <c r="AH127" s="13">
        <v>0.811511399032508</v>
      </c>
      <c r="AI127" s="13">
        <v>0.080125743469993</v>
      </c>
      <c r="AJ127" s="13"/>
      <c r="AK127" s="11"/>
      <c r="AL127" s="11"/>
      <c r="AM127" s="11"/>
      <c r="AN127" s="11"/>
      <c r="AO127" s="12">
        <v>1642884766</v>
      </c>
      <c r="AP127" s="12">
        <v>109752954.75</v>
      </c>
      <c r="AQ127" s="12">
        <v>121153267.69</v>
      </c>
      <c r="AR127" s="12">
        <v>150184107.16</v>
      </c>
      <c r="AS127" s="12">
        <v>101497713.81</v>
      </c>
      <c r="AT127" s="13">
        <v>0.935917717533864</v>
      </c>
      <c r="AU127" s="13">
        <v>0.763395297038125</v>
      </c>
      <c r="AV127" s="13">
        <v>0.0790751510802452</v>
      </c>
      <c r="AW127" s="13"/>
      <c r="AX127" s="11"/>
      <c r="AY127" s="11"/>
      <c r="AZ127" s="11"/>
      <c r="BA127" s="11"/>
      <c r="BB127" s="12">
        <v>1615649970.2</v>
      </c>
      <c r="BC127" s="12">
        <v>105983008.92</v>
      </c>
      <c r="BD127" s="12">
        <v>113024371.01</v>
      </c>
      <c r="BE127" s="12">
        <v>143610211.47</v>
      </c>
      <c r="BF127" s="12">
        <v>99884158.49</v>
      </c>
      <c r="BG127" s="13">
        <v>1.01166421445098</v>
      </c>
      <c r="BH127" s="13">
        <v>0.799569583679269</v>
      </c>
      <c r="BI127" s="13">
        <v>0.0779460774082379</v>
      </c>
      <c r="BJ127" s="11"/>
      <c r="BK127" s="11"/>
      <c r="BL127" s="11"/>
      <c r="BM127" s="11"/>
      <c r="BN127" s="11"/>
    </row>
    <row r="128" s="1" customFormat="1" spans="1:66">
      <c r="A128" s="9" t="s">
        <v>141</v>
      </c>
      <c r="B128" s="9">
        <v>273010593.07</v>
      </c>
      <c r="C128" s="9">
        <v>18953691.21</v>
      </c>
      <c r="D128" s="9">
        <v>18288081.56</v>
      </c>
      <c r="E128" s="9">
        <v>27397153.7</v>
      </c>
      <c r="F128" s="9">
        <v>18255140.38</v>
      </c>
      <c r="G128" s="10">
        <v>1.08027397962112</v>
      </c>
      <c r="H128" s="10">
        <v>0.772719447106426</v>
      </c>
      <c r="I128" s="10">
        <v>0.0892818757163911</v>
      </c>
      <c r="J128" s="10"/>
      <c r="K128" s="11"/>
      <c r="L128" s="11"/>
      <c r="M128" s="11"/>
      <c r="N128" s="11"/>
      <c r="O128" s="9">
        <v>259759695.81</v>
      </c>
      <c r="P128" s="9">
        <v>18456895.77</v>
      </c>
      <c r="Q128" s="9">
        <v>18032603.23</v>
      </c>
      <c r="R128" s="9">
        <v>27380381.55</v>
      </c>
      <c r="S128" s="9">
        <v>18557371.3</v>
      </c>
      <c r="T128" s="10">
        <v>1.08027397962112</v>
      </c>
      <c r="U128" s="10">
        <v>0.772719447106426</v>
      </c>
      <c r="V128" s="10">
        <v>0.0892818757163911</v>
      </c>
      <c r="W128" s="10"/>
      <c r="X128" s="11"/>
      <c r="Y128" s="11"/>
      <c r="Z128" s="11"/>
      <c r="AA128" s="11"/>
      <c r="AB128" s="9">
        <v>256811246.25</v>
      </c>
      <c r="AC128" s="9">
        <v>18514467.73</v>
      </c>
      <c r="AD128" s="9">
        <v>22091494.16</v>
      </c>
      <c r="AE128" s="9">
        <v>26485740.73</v>
      </c>
      <c r="AF128" s="9">
        <v>17764653.39</v>
      </c>
      <c r="AG128" s="10">
        <v>1.07652864778244</v>
      </c>
      <c r="AH128" s="10">
        <v>0.833024151572572</v>
      </c>
      <c r="AI128" s="10">
        <v>0.083621024819363</v>
      </c>
      <c r="AJ128" s="10"/>
      <c r="AK128" s="11"/>
      <c r="AL128" s="11"/>
      <c r="AM128" s="11"/>
      <c r="AN128" s="11"/>
      <c r="AO128" s="9">
        <v>259403663.91</v>
      </c>
      <c r="AP128" s="9">
        <v>18711635.05</v>
      </c>
      <c r="AQ128" s="9">
        <v>18329873.76</v>
      </c>
      <c r="AR128" s="9">
        <v>26578596.36</v>
      </c>
      <c r="AS128" s="9">
        <v>16274962.35</v>
      </c>
      <c r="AT128" s="10">
        <v>0.838502141599568</v>
      </c>
      <c r="AU128" s="10">
        <v>0.708101977073689</v>
      </c>
      <c r="AV128" s="10">
        <v>0.0795348380010966</v>
      </c>
      <c r="AW128" s="10"/>
      <c r="AX128" s="11"/>
      <c r="AY128" s="11"/>
      <c r="AZ128" s="11"/>
      <c r="BA128" s="11"/>
      <c r="BB128" s="9">
        <f t="shared" ref="BB128:BF128" si="172">SUM(B128,O128,)</f>
        <v>532770288.88</v>
      </c>
      <c r="BC128" s="9">
        <f t="shared" si="172"/>
        <v>37410586.98</v>
      </c>
      <c r="BD128" s="9">
        <f t="shared" si="172"/>
        <v>36320684.79</v>
      </c>
      <c r="BE128" s="9">
        <f t="shared" si="172"/>
        <v>54777535.25</v>
      </c>
      <c r="BF128" s="9">
        <f t="shared" si="172"/>
        <v>36812511.68</v>
      </c>
      <c r="BG128" s="10">
        <f t="shared" ref="BG128:BI128" si="173">AVERAGE(G128,T128,AT128,AG128)</f>
        <v>1.01889468715606</v>
      </c>
      <c r="BH128" s="10">
        <f t="shared" si="173"/>
        <v>0.771641255714778</v>
      </c>
      <c r="BI128" s="10">
        <f t="shared" si="173"/>
        <v>0.0854299035633105</v>
      </c>
      <c r="BJ128" s="11"/>
      <c r="BK128" s="11"/>
      <c r="BL128" s="11"/>
      <c r="BM128" s="11"/>
      <c r="BN128" s="11"/>
    </row>
    <row r="129" s="1" customFormat="1" spans="1:66">
      <c r="A129" s="9" t="s">
        <v>140</v>
      </c>
      <c r="B129" s="9">
        <v>313557588.13</v>
      </c>
      <c r="C129" s="9">
        <v>24392744.75</v>
      </c>
      <c r="D129" s="9">
        <v>25402633.94</v>
      </c>
      <c r="E129" s="9">
        <v>28171405.99</v>
      </c>
      <c r="F129" s="9">
        <v>23365697.47</v>
      </c>
      <c r="G129" s="10">
        <v>0.871691468594424</v>
      </c>
      <c r="H129" s="10">
        <v>0.799198843525563</v>
      </c>
      <c r="I129" s="10">
        <v>0.0727465182314229</v>
      </c>
      <c r="J129" s="10"/>
      <c r="K129" s="11"/>
      <c r="L129" s="11"/>
      <c r="M129" s="11"/>
      <c r="N129" s="11"/>
      <c r="O129" s="9">
        <v>312736747.49</v>
      </c>
      <c r="P129" s="9">
        <v>24599638.34</v>
      </c>
      <c r="Q129" s="9">
        <v>22200430.72</v>
      </c>
      <c r="R129" s="9">
        <v>28741812.91</v>
      </c>
      <c r="S129" s="9">
        <v>24113080.17</v>
      </c>
      <c r="T129" s="10">
        <v>0.871691468594424</v>
      </c>
      <c r="U129" s="10">
        <v>0.799198843525563</v>
      </c>
      <c r="V129" s="10">
        <v>0.0727465182314229</v>
      </c>
      <c r="W129" s="10"/>
      <c r="X129" s="11"/>
      <c r="Y129" s="11"/>
      <c r="Z129" s="11"/>
      <c r="AA129" s="11"/>
      <c r="AB129" s="9">
        <v>300953140.02</v>
      </c>
      <c r="AC129" s="9">
        <v>24363948.84</v>
      </c>
      <c r="AD129" s="9">
        <v>32294997.22</v>
      </c>
      <c r="AE129" s="9">
        <v>29338201.75</v>
      </c>
      <c r="AF129" s="9">
        <v>24659086.85</v>
      </c>
      <c r="AG129" s="10">
        <v>1.09912255734158</v>
      </c>
      <c r="AH129" s="10">
        <v>0.918323378500428</v>
      </c>
      <c r="AI129" s="10">
        <v>0.0812949615651372</v>
      </c>
      <c r="AJ129" s="10"/>
      <c r="AK129" s="11"/>
      <c r="AL129" s="11"/>
      <c r="AM129" s="11"/>
      <c r="AN129" s="11"/>
      <c r="AO129" s="9">
        <v>293568502.88</v>
      </c>
      <c r="AP129" s="9">
        <v>24117135.79</v>
      </c>
      <c r="AQ129" s="9">
        <v>22869708.75</v>
      </c>
      <c r="AR129" s="9">
        <v>28405249.17</v>
      </c>
      <c r="AS129" s="9">
        <v>20937501.49</v>
      </c>
      <c r="AT129" s="10">
        <v>0.631565209002266</v>
      </c>
      <c r="AU129" s="10">
        <v>0.563736351965938</v>
      </c>
      <c r="AV129" s="10">
        <v>0.0774269325478339</v>
      </c>
      <c r="AW129" s="10"/>
      <c r="AX129" s="11"/>
      <c r="AY129" s="11"/>
      <c r="AZ129" s="11"/>
      <c r="BA129" s="11"/>
      <c r="BB129" s="9">
        <f t="shared" ref="BB129:BF129" si="174">SUM(B129,O129,)</f>
        <v>626294335.62</v>
      </c>
      <c r="BC129" s="9">
        <f t="shared" si="174"/>
        <v>48992383.09</v>
      </c>
      <c r="BD129" s="9">
        <f t="shared" si="174"/>
        <v>47603064.66</v>
      </c>
      <c r="BE129" s="9">
        <f t="shared" si="174"/>
        <v>56913218.9</v>
      </c>
      <c r="BF129" s="9">
        <f t="shared" si="174"/>
        <v>47478777.64</v>
      </c>
      <c r="BG129" s="10">
        <f t="shared" ref="BG129:BI129" si="175">AVERAGE(G129,T129,AT129,AG129)</f>
        <v>0.868517675883173</v>
      </c>
      <c r="BH129" s="10">
        <f t="shared" si="175"/>
        <v>0.770114354379373</v>
      </c>
      <c r="BI129" s="10">
        <f t="shared" si="175"/>
        <v>0.0760537326439542</v>
      </c>
      <c r="BJ129" s="11"/>
      <c r="BK129" s="11"/>
      <c r="BL129" s="11"/>
      <c r="BM129" s="11"/>
      <c r="BN129" s="11"/>
    </row>
    <row r="130" s="1" customFormat="1" spans="1:66">
      <c r="A130" s="9" t="s">
        <v>139</v>
      </c>
      <c r="B130" s="9">
        <v>130332593.84</v>
      </c>
      <c r="C130" s="9">
        <v>8099508.01</v>
      </c>
      <c r="D130" s="9">
        <v>8283692.95</v>
      </c>
      <c r="E130" s="9">
        <v>8261814.53</v>
      </c>
      <c r="F130" s="9">
        <v>7950538.88</v>
      </c>
      <c r="G130" s="10">
        <v>0.488083556678433</v>
      </c>
      <c r="H130" s="10">
        <v>0.471272499742703</v>
      </c>
      <c r="I130" s="10">
        <v>0.0334298337941496</v>
      </c>
      <c r="J130" s="10"/>
      <c r="K130" s="11"/>
      <c r="L130" s="11"/>
      <c r="M130" s="11"/>
      <c r="N130" s="11"/>
      <c r="O130" s="9">
        <v>135169931.38</v>
      </c>
      <c r="P130" s="9">
        <v>8726141.03</v>
      </c>
      <c r="Q130" s="9">
        <v>7906951.84</v>
      </c>
      <c r="R130" s="9">
        <v>9037416.68</v>
      </c>
      <c r="S130" s="9">
        <v>8518171.9</v>
      </c>
      <c r="T130" s="10">
        <v>0.488083556678433</v>
      </c>
      <c r="U130" s="10">
        <v>0.471272499742703</v>
      </c>
      <c r="V130" s="10">
        <v>0.0334298337941496</v>
      </c>
      <c r="W130" s="10"/>
      <c r="X130" s="11"/>
      <c r="Y130" s="11"/>
      <c r="Z130" s="11"/>
      <c r="AA130" s="11"/>
      <c r="AB130" s="9">
        <v>156139393.45</v>
      </c>
      <c r="AC130" s="9">
        <v>9911788.25</v>
      </c>
      <c r="AD130" s="9">
        <v>11986835.33</v>
      </c>
      <c r="AE130" s="9">
        <v>10431033.03</v>
      </c>
      <c r="AF130" s="9">
        <v>9881442.46</v>
      </c>
      <c r="AG130" s="10">
        <v>0.498469207108011</v>
      </c>
      <c r="AH130" s="10">
        <v>0.473655985537609</v>
      </c>
      <c r="AI130" s="10">
        <v>0.0334029510411167</v>
      </c>
      <c r="AJ130" s="10"/>
      <c r="AK130" s="11"/>
      <c r="AL130" s="11"/>
      <c r="AM130" s="11"/>
      <c r="AN130" s="11"/>
      <c r="AO130" s="9">
        <v>161791140.33</v>
      </c>
      <c r="AP130" s="9">
        <v>10874065.87</v>
      </c>
      <c r="AQ130" s="9">
        <v>10914737.63</v>
      </c>
      <c r="AR130" s="9">
        <v>11474432.54</v>
      </c>
      <c r="AS130" s="9">
        <v>10539720.49</v>
      </c>
      <c r="AT130" s="10">
        <v>0.484626478081101</v>
      </c>
      <c r="AU130" s="10">
        <v>0.459269791916002</v>
      </c>
      <c r="AV130" s="10">
        <v>0.0354606331242736</v>
      </c>
      <c r="AW130" s="10"/>
      <c r="AX130" s="11"/>
      <c r="AY130" s="11"/>
      <c r="AZ130" s="11"/>
      <c r="BA130" s="11"/>
      <c r="BB130" s="9">
        <f t="shared" ref="BB130:BF130" si="176">SUM(B130,O130,)</f>
        <v>265502525.22</v>
      </c>
      <c r="BC130" s="9">
        <f t="shared" si="176"/>
        <v>16825649.04</v>
      </c>
      <c r="BD130" s="9">
        <f t="shared" si="176"/>
        <v>16190644.79</v>
      </c>
      <c r="BE130" s="9">
        <f t="shared" si="176"/>
        <v>17299231.21</v>
      </c>
      <c r="BF130" s="9">
        <f t="shared" si="176"/>
        <v>16468710.78</v>
      </c>
      <c r="BG130" s="10">
        <f t="shared" ref="BG130:BI130" si="177">AVERAGE(G130,T130,AT130,AG130)</f>
        <v>0.489815699636494</v>
      </c>
      <c r="BH130" s="10">
        <f t="shared" si="177"/>
        <v>0.468867694234754</v>
      </c>
      <c r="BI130" s="10">
        <f t="shared" si="177"/>
        <v>0.0339308129384224</v>
      </c>
      <c r="BJ130" s="11"/>
      <c r="BK130" s="11"/>
      <c r="BL130" s="11"/>
      <c r="BM130" s="11"/>
      <c r="BN130" s="11"/>
    </row>
    <row r="131" s="1" customFormat="1" spans="1:66">
      <c r="A131" s="12" t="s">
        <v>142</v>
      </c>
      <c r="B131" s="12">
        <v>716900775.04</v>
      </c>
      <c r="C131" s="12">
        <v>51445943.97</v>
      </c>
      <c r="D131" s="12">
        <v>51974408.45</v>
      </c>
      <c r="E131" s="12">
        <v>63830374.22</v>
      </c>
      <c r="F131" s="12">
        <v>49571376.73</v>
      </c>
      <c r="G131" s="13">
        <v>0.949911551180916</v>
      </c>
      <c r="H131" s="13">
        <v>0.796918040151728</v>
      </c>
      <c r="I131" s="13">
        <v>0.0762459918360964</v>
      </c>
      <c r="J131" s="13"/>
      <c r="K131" s="11"/>
      <c r="L131" s="11"/>
      <c r="M131" s="11"/>
      <c r="N131" s="11"/>
      <c r="O131" s="12">
        <v>707666374.68</v>
      </c>
      <c r="P131" s="12">
        <v>51782675.14</v>
      </c>
      <c r="Q131" s="12">
        <v>48139985.79</v>
      </c>
      <c r="R131" s="12">
        <v>65159611.14</v>
      </c>
      <c r="S131" s="12">
        <v>51188623.37</v>
      </c>
      <c r="T131" s="13">
        <v>0.949911551180916</v>
      </c>
      <c r="U131" s="13">
        <v>0.796918040151728</v>
      </c>
      <c r="V131" s="13">
        <v>0.0762459918360964</v>
      </c>
      <c r="W131" s="13"/>
      <c r="X131" s="11"/>
      <c r="Y131" s="11"/>
      <c r="Z131" s="11"/>
      <c r="AA131" s="11"/>
      <c r="AB131" s="12">
        <v>713903779.72</v>
      </c>
      <c r="AC131" s="12">
        <v>52790204.82</v>
      </c>
      <c r="AD131" s="12">
        <v>66373326.71</v>
      </c>
      <c r="AE131" s="12">
        <v>66254975.51</v>
      </c>
      <c r="AF131" s="12">
        <v>52305182.7</v>
      </c>
      <c r="AG131" s="13">
        <v>1.09015184266493</v>
      </c>
      <c r="AH131" s="13">
        <v>0.893006651808218</v>
      </c>
      <c r="AI131" s="13">
        <v>0.0785587166892913</v>
      </c>
      <c r="AJ131" s="13"/>
      <c r="AK131" s="11"/>
      <c r="AL131" s="11"/>
      <c r="AM131" s="11"/>
      <c r="AN131" s="11"/>
      <c r="AO131" s="12">
        <v>714763307.12</v>
      </c>
      <c r="AP131" s="12">
        <v>53702836.71</v>
      </c>
      <c r="AQ131" s="12">
        <v>52114320.14</v>
      </c>
      <c r="AR131" s="12">
        <v>66458278.07</v>
      </c>
      <c r="AS131" s="12">
        <v>47752184.33</v>
      </c>
      <c r="AT131" s="13">
        <v>0.712524465856849</v>
      </c>
      <c r="AU131" s="13">
        <v>0.625439541073752</v>
      </c>
      <c r="AV131" s="13">
        <v>0.0750394837207638</v>
      </c>
      <c r="AW131" s="13"/>
      <c r="AX131" s="11"/>
      <c r="AY131" s="11"/>
      <c r="AZ131" s="11"/>
      <c r="BA131" s="11"/>
      <c r="BB131" s="12">
        <v>716900775.04</v>
      </c>
      <c r="BC131" s="12">
        <v>51445943.97</v>
      </c>
      <c r="BD131" s="12">
        <v>51974408.45</v>
      </c>
      <c r="BE131" s="12">
        <v>63830374.22</v>
      </c>
      <c r="BF131" s="12">
        <v>49571376.73</v>
      </c>
      <c r="BG131" s="13">
        <v>0.949911551180916</v>
      </c>
      <c r="BH131" s="13">
        <v>0.796918040151728</v>
      </c>
      <c r="BI131" s="13">
        <v>0.0762459918360964</v>
      </c>
      <c r="BJ131" s="11"/>
      <c r="BK131" s="11"/>
      <c r="BL131" s="11"/>
      <c r="BM131" s="11"/>
      <c r="BN131" s="11"/>
    </row>
    <row r="132" s="1" customFormat="1" spans="1:66">
      <c r="A132" s="14" t="s">
        <v>143</v>
      </c>
      <c r="B132" s="14">
        <v>5424128570.91</v>
      </c>
      <c r="C132" s="14">
        <v>350273765.41</v>
      </c>
      <c r="D132" s="14">
        <v>380083797.59</v>
      </c>
      <c r="E132" s="14">
        <v>484904666.8</v>
      </c>
      <c r="F132" s="14">
        <v>327092365.14</v>
      </c>
      <c r="G132" s="15">
        <v>1.00222864221197</v>
      </c>
      <c r="H132" s="15">
        <v>0.800301343691879</v>
      </c>
      <c r="I132" s="15">
        <v>0.0788321466070406</v>
      </c>
      <c r="J132" s="15"/>
      <c r="K132" s="11"/>
      <c r="L132" s="11"/>
      <c r="M132" s="11"/>
      <c r="N132" s="11"/>
      <c r="O132" s="14">
        <v>5470234042.85</v>
      </c>
      <c r="P132" s="14">
        <v>358476553.64</v>
      </c>
      <c r="Q132" s="14">
        <v>317921772.47</v>
      </c>
      <c r="R132" s="14">
        <v>507098174.44</v>
      </c>
      <c r="S132" s="14">
        <v>352243589.09</v>
      </c>
      <c r="T132" s="15">
        <v>1.00222864221197</v>
      </c>
      <c r="U132" s="15">
        <v>0.800301343691879</v>
      </c>
      <c r="V132" s="15">
        <v>0.0788321466070406</v>
      </c>
      <c r="W132" s="15"/>
      <c r="X132" s="11"/>
      <c r="Y132" s="11"/>
      <c r="Z132" s="11"/>
      <c r="AA132" s="11"/>
      <c r="AB132" s="14">
        <v>5371206655.03</v>
      </c>
      <c r="AC132" s="14">
        <v>357337434.42</v>
      </c>
      <c r="AD132" s="14">
        <v>459452714.16</v>
      </c>
      <c r="AE132" s="14">
        <v>505259668.66</v>
      </c>
      <c r="AF132" s="14">
        <v>349665006.94</v>
      </c>
      <c r="AG132" s="15">
        <v>1.01197558291013</v>
      </c>
      <c r="AH132" s="15">
        <v>0.820320835758918</v>
      </c>
      <c r="AI132" s="15">
        <v>0.0802195614904146</v>
      </c>
      <c r="AJ132" s="15"/>
      <c r="AK132" s="11"/>
      <c r="AL132" s="11"/>
      <c r="AM132" s="11"/>
      <c r="AN132" s="11"/>
      <c r="AO132" s="14">
        <v>5488603592.08</v>
      </c>
      <c r="AP132" s="14">
        <v>362635096.39</v>
      </c>
      <c r="AQ132" s="14">
        <v>391901180.94</v>
      </c>
      <c r="AR132" s="14">
        <v>517718554.19</v>
      </c>
      <c r="AS132" s="14">
        <v>328051559.73</v>
      </c>
      <c r="AT132" s="15">
        <v>0.901161785951554</v>
      </c>
      <c r="AU132" s="15">
        <v>0.742398940526204</v>
      </c>
      <c r="AV132" s="15">
        <v>0.0787041686004806</v>
      </c>
      <c r="AW132" s="15"/>
      <c r="AX132" s="11"/>
      <c r="AY132" s="11"/>
      <c r="AZ132" s="11"/>
      <c r="BA132" s="11"/>
      <c r="BB132" s="14">
        <v>5424128570.91</v>
      </c>
      <c r="BC132" s="14">
        <v>350273765.41</v>
      </c>
      <c r="BD132" s="14">
        <v>380083797.59</v>
      </c>
      <c r="BE132" s="14">
        <v>484904666.8</v>
      </c>
      <c r="BF132" s="14">
        <v>327092365.14</v>
      </c>
      <c r="BG132" s="15">
        <v>1.00222864221197</v>
      </c>
      <c r="BH132" s="15">
        <v>0.800301343691879</v>
      </c>
      <c r="BI132" s="15">
        <v>0.0788321466070406</v>
      </c>
      <c r="BJ132" s="11"/>
      <c r="BK132" s="11"/>
      <c r="BL132" s="11"/>
      <c r="BM132" s="11"/>
      <c r="BN132" s="11"/>
    </row>
    <row r="133" s="1" customFormat="1" spans="1:66">
      <c r="A133" s="9" t="s">
        <v>146</v>
      </c>
      <c r="B133" s="9">
        <v>305499813.37</v>
      </c>
      <c r="C133" s="9">
        <v>22268484.7</v>
      </c>
      <c r="D133" s="9">
        <v>31829050.14</v>
      </c>
      <c r="E133" s="9">
        <v>28467526.95</v>
      </c>
      <c r="F133" s="9">
        <v>20276985.16</v>
      </c>
      <c r="G133" s="10">
        <v>0.965458584244687</v>
      </c>
      <c r="H133" s="10">
        <v>0.75371091438314</v>
      </c>
      <c r="I133" s="10">
        <v>0.0953305365956489</v>
      </c>
      <c r="J133" s="10"/>
      <c r="K133" s="11"/>
      <c r="L133" s="11"/>
      <c r="M133" s="11"/>
      <c r="N133" s="11"/>
      <c r="O133" s="9">
        <v>293631620.77</v>
      </c>
      <c r="P133" s="9">
        <v>21917584.62</v>
      </c>
      <c r="Q133" s="9">
        <v>18975285.33</v>
      </c>
      <c r="R133" s="9">
        <v>29569561.91</v>
      </c>
      <c r="S133" s="9">
        <v>20112091.58</v>
      </c>
      <c r="T133" s="10">
        <v>0.965458584244687</v>
      </c>
      <c r="U133" s="10">
        <v>0.75371091438314</v>
      </c>
      <c r="V133" s="10">
        <v>0.0953305365956489</v>
      </c>
      <c r="W133" s="10"/>
      <c r="X133" s="11"/>
      <c r="Y133" s="11"/>
      <c r="Z133" s="11"/>
      <c r="AA133" s="11"/>
      <c r="AB133" s="9">
        <v>291634218.27</v>
      </c>
      <c r="AC133" s="9">
        <v>22248652.73</v>
      </c>
      <c r="AD133" s="9">
        <v>24834414.26</v>
      </c>
      <c r="AE133" s="9">
        <v>30239960.52</v>
      </c>
      <c r="AF133" s="9">
        <v>20421595.97</v>
      </c>
      <c r="AG133" s="10">
        <v>0.937124246341796</v>
      </c>
      <c r="AH133" s="10">
        <v>0.732901068321016</v>
      </c>
      <c r="AI133" s="10">
        <v>0.0991605982884493</v>
      </c>
      <c r="AJ133" s="10"/>
      <c r="AK133" s="11"/>
      <c r="AL133" s="11"/>
      <c r="AM133" s="11"/>
      <c r="AN133" s="11"/>
      <c r="AO133" s="9">
        <v>301273880.96</v>
      </c>
      <c r="AP133" s="9">
        <v>22071812.17</v>
      </c>
      <c r="AQ133" s="9">
        <v>22081737.95</v>
      </c>
      <c r="AR133" s="9">
        <v>30858771.5</v>
      </c>
      <c r="AS133" s="9">
        <v>19230129.23</v>
      </c>
      <c r="AT133" s="10">
        <v>0.694276791166894</v>
      </c>
      <c r="AU133" s="10">
        <v>0.51735526292913</v>
      </c>
      <c r="AV133" s="10">
        <v>0.103354528576433</v>
      </c>
      <c r="AW133" s="10"/>
      <c r="AX133" s="11"/>
      <c r="AY133" s="11"/>
      <c r="AZ133" s="11"/>
      <c r="BA133" s="11"/>
      <c r="BB133" s="9">
        <f t="shared" ref="BB133:BF133" si="178">SUM(B133,O133,)</f>
        <v>599131434.14</v>
      </c>
      <c r="BC133" s="9">
        <f t="shared" si="178"/>
        <v>44186069.32</v>
      </c>
      <c r="BD133" s="9">
        <f t="shared" si="178"/>
        <v>50804335.47</v>
      </c>
      <c r="BE133" s="9">
        <f t="shared" si="178"/>
        <v>58037088.86</v>
      </c>
      <c r="BF133" s="9">
        <f t="shared" si="178"/>
        <v>40389076.74</v>
      </c>
      <c r="BG133" s="10">
        <f t="shared" ref="BG133:BI133" si="179">AVERAGE(G133,T133,AT133,AG133)</f>
        <v>0.890579551499516</v>
      </c>
      <c r="BH133" s="10">
        <f t="shared" si="179"/>
        <v>0.689419540004106</v>
      </c>
      <c r="BI133" s="10">
        <f t="shared" si="179"/>
        <v>0.0982940500140451</v>
      </c>
      <c r="BJ133" s="11"/>
      <c r="BK133" s="11"/>
      <c r="BL133" s="11"/>
      <c r="BM133" s="11"/>
      <c r="BN133" s="11"/>
    </row>
    <row r="134" s="1" customFormat="1" spans="1:66">
      <c r="A134" s="9" t="s">
        <v>145</v>
      </c>
      <c r="B134" s="9">
        <v>454118099.699999</v>
      </c>
      <c r="C134" s="9">
        <v>34339476.52</v>
      </c>
      <c r="D134" s="9">
        <v>39319598.96</v>
      </c>
      <c r="E134" s="9">
        <v>41054215.6699999</v>
      </c>
      <c r="F134" s="9">
        <v>32417409.9</v>
      </c>
      <c r="G134" s="10">
        <v>0.986621458586646</v>
      </c>
      <c r="H134" s="10">
        <v>0.896085548353017</v>
      </c>
      <c r="I134" s="10">
        <v>0.0787529605015793</v>
      </c>
      <c r="J134" s="10"/>
      <c r="K134" s="11"/>
      <c r="L134" s="11"/>
      <c r="M134" s="11"/>
      <c r="N134" s="11"/>
      <c r="O134" s="9">
        <v>456809025.46</v>
      </c>
      <c r="P134" s="9">
        <v>34693241.19</v>
      </c>
      <c r="Q134" s="9">
        <v>31141484.5</v>
      </c>
      <c r="R134" s="9">
        <v>42538849.01</v>
      </c>
      <c r="S134" s="9">
        <v>33774837.79</v>
      </c>
      <c r="T134" s="10">
        <v>0.986621458586646</v>
      </c>
      <c r="U134" s="10">
        <v>0.896085548353017</v>
      </c>
      <c r="V134" s="10">
        <v>0.0787529605015793</v>
      </c>
      <c r="W134" s="10"/>
      <c r="X134" s="11"/>
      <c r="Y134" s="11"/>
      <c r="Z134" s="11"/>
      <c r="AA134" s="11"/>
      <c r="AB134" s="9">
        <v>447764055.25</v>
      </c>
      <c r="AC134" s="9">
        <v>34066219.07</v>
      </c>
      <c r="AD134" s="9">
        <v>40624577.56</v>
      </c>
      <c r="AE134" s="9">
        <v>40255841.76</v>
      </c>
      <c r="AF134" s="9">
        <v>32824974.27</v>
      </c>
      <c r="AG134" s="10">
        <v>0.981444090102481</v>
      </c>
      <c r="AH134" s="10">
        <v>0.906711228261099</v>
      </c>
      <c r="AI134" s="10">
        <v>0.0788454169631103</v>
      </c>
      <c r="AJ134" s="10"/>
      <c r="AK134" s="11"/>
      <c r="AL134" s="11"/>
      <c r="AM134" s="11"/>
      <c r="AN134" s="11"/>
      <c r="AO134" s="9">
        <v>464766147.89</v>
      </c>
      <c r="AP134" s="9">
        <v>34054681.7</v>
      </c>
      <c r="AQ134" s="9">
        <v>36989802.01</v>
      </c>
      <c r="AR134" s="9">
        <v>42869067.15</v>
      </c>
      <c r="AS134" s="9">
        <v>31653582.89</v>
      </c>
      <c r="AT134" s="10">
        <v>0.835583264459428</v>
      </c>
      <c r="AU134" s="10">
        <v>0.738876845991981</v>
      </c>
      <c r="AV134" s="10">
        <v>0.0819895028575315</v>
      </c>
      <c r="AW134" s="10"/>
      <c r="AX134" s="11"/>
      <c r="AY134" s="11"/>
      <c r="AZ134" s="11"/>
      <c r="BA134" s="11"/>
      <c r="BB134" s="9">
        <f t="shared" ref="BB134:BF134" si="180">SUM(B134,O134,)</f>
        <v>910927125.159999</v>
      </c>
      <c r="BC134" s="9">
        <f t="shared" si="180"/>
        <v>69032717.71</v>
      </c>
      <c r="BD134" s="9">
        <f t="shared" si="180"/>
        <v>70461083.46</v>
      </c>
      <c r="BE134" s="9">
        <f t="shared" si="180"/>
        <v>83593064.6799999</v>
      </c>
      <c r="BF134" s="9">
        <f t="shared" si="180"/>
        <v>66192247.69</v>
      </c>
      <c r="BG134" s="10">
        <f t="shared" ref="BG134:BI134" si="181">AVERAGE(G134,T134,AT134,AG134)</f>
        <v>0.9475675679338</v>
      </c>
      <c r="BH134" s="10">
        <f t="shared" si="181"/>
        <v>0.859439792739778</v>
      </c>
      <c r="BI134" s="10">
        <f t="shared" si="181"/>
        <v>0.0795852102059501</v>
      </c>
      <c r="BJ134" s="11"/>
      <c r="BK134" s="11"/>
      <c r="BL134" s="11"/>
      <c r="BM134" s="11"/>
      <c r="BN134" s="11"/>
    </row>
    <row r="135" s="1" customFormat="1" spans="1:66">
      <c r="A135" s="9" t="s">
        <v>144</v>
      </c>
      <c r="B135" s="9">
        <v>408211773.77</v>
      </c>
      <c r="C135" s="9">
        <v>33775663.0699999</v>
      </c>
      <c r="D135" s="9">
        <v>35079059.06</v>
      </c>
      <c r="E135" s="9">
        <v>41082392.3199999</v>
      </c>
      <c r="F135" s="9">
        <v>32621678.7299999</v>
      </c>
      <c r="G135" s="10">
        <v>0.973332452739007</v>
      </c>
      <c r="H135" s="10">
        <v>0.887664153784144</v>
      </c>
      <c r="I135" s="10">
        <v>0.0856106813547635</v>
      </c>
      <c r="J135" s="10"/>
      <c r="K135" s="11"/>
      <c r="L135" s="11"/>
      <c r="M135" s="11"/>
      <c r="N135" s="11"/>
      <c r="O135" s="9">
        <v>394830483.75</v>
      </c>
      <c r="P135" s="9">
        <v>33603339.79</v>
      </c>
      <c r="Q135" s="9">
        <v>31509796.93</v>
      </c>
      <c r="R135" s="9">
        <v>40870834.2599999</v>
      </c>
      <c r="S135" s="9">
        <v>32183532.77</v>
      </c>
      <c r="T135" s="10">
        <v>0.973332452739007</v>
      </c>
      <c r="U135" s="10">
        <v>0.887664153784144</v>
      </c>
      <c r="V135" s="10">
        <v>0.0856106813547635</v>
      </c>
      <c r="W135" s="10"/>
      <c r="X135" s="11"/>
      <c r="Y135" s="11"/>
      <c r="Z135" s="11"/>
      <c r="AA135" s="11"/>
      <c r="AB135" s="9">
        <v>390441321.51</v>
      </c>
      <c r="AC135" s="9">
        <v>33560696.58</v>
      </c>
      <c r="AD135" s="9">
        <v>35169924.01</v>
      </c>
      <c r="AE135" s="9">
        <v>41393803.24</v>
      </c>
      <c r="AF135" s="9">
        <v>32009798.41</v>
      </c>
      <c r="AG135" s="10">
        <v>0.906334197850627</v>
      </c>
      <c r="AH135" s="10">
        <v>0.810880514136281</v>
      </c>
      <c r="AI135" s="10">
        <v>0.0891532987047464</v>
      </c>
      <c r="AJ135" s="10"/>
      <c r="AK135" s="11"/>
      <c r="AL135" s="11"/>
      <c r="AM135" s="11"/>
      <c r="AN135" s="11"/>
      <c r="AO135" s="9">
        <v>396220367.33</v>
      </c>
      <c r="AP135" s="9">
        <v>33563376.31</v>
      </c>
      <c r="AQ135" s="9">
        <v>38478397.1799999</v>
      </c>
      <c r="AR135" s="9">
        <v>41752480.4599999</v>
      </c>
      <c r="AS135" s="9">
        <v>31279971.3</v>
      </c>
      <c r="AT135" s="10">
        <v>0.822483648875658</v>
      </c>
      <c r="AU135" s="10">
        <v>0.683084105311061</v>
      </c>
      <c r="AV135" s="10">
        <v>0.0954437086825973</v>
      </c>
      <c r="AW135" s="10"/>
      <c r="AX135" s="11"/>
      <c r="AY135" s="11"/>
      <c r="AZ135" s="11"/>
      <c r="BA135" s="11"/>
      <c r="BB135" s="9">
        <f t="shared" ref="BB135:BF135" si="182">SUM(B135,O135,)</f>
        <v>803042257.52</v>
      </c>
      <c r="BC135" s="9">
        <f t="shared" si="182"/>
        <v>67379002.8599999</v>
      </c>
      <c r="BD135" s="9">
        <f t="shared" si="182"/>
        <v>66588855.9899999</v>
      </c>
      <c r="BE135" s="9">
        <f t="shared" si="182"/>
        <v>81953226.5799998</v>
      </c>
      <c r="BF135" s="9">
        <f t="shared" si="182"/>
        <v>64805211.4999999</v>
      </c>
      <c r="BG135" s="10">
        <f t="shared" ref="BG135:BI135" si="183">AVERAGE(G135,T135,AT135,AG135)</f>
        <v>0.918870688051075</v>
      </c>
      <c r="BH135" s="10">
        <f t="shared" si="183"/>
        <v>0.817323231753907</v>
      </c>
      <c r="BI135" s="10">
        <f t="shared" si="183"/>
        <v>0.0889545925242177</v>
      </c>
      <c r="BJ135" s="11"/>
      <c r="BK135" s="11"/>
      <c r="BL135" s="11"/>
      <c r="BM135" s="11"/>
      <c r="BN135" s="11"/>
    </row>
    <row r="136" s="1" customFormat="1" spans="1:66">
      <c r="A136" s="9" t="s">
        <v>147</v>
      </c>
      <c r="B136" s="9">
        <v>406564974.92</v>
      </c>
      <c r="C136" s="9">
        <v>29518826.77</v>
      </c>
      <c r="D136" s="9">
        <v>28618621.69</v>
      </c>
      <c r="E136" s="9">
        <v>37538405.7699999</v>
      </c>
      <c r="F136" s="9">
        <v>28167473.79</v>
      </c>
      <c r="G136" s="10">
        <v>0.980750829150056</v>
      </c>
      <c r="H136" s="10">
        <v>0.864076639466599</v>
      </c>
      <c r="I136" s="10">
        <v>0.0792643329566767</v>
      </c>
      <c r="J136" s="10"/>
      <c r="K136" s="11"/>
      <c r="L136" s="11"/>
      <c r="M136" s="11"/>
      <c r="N136" s="11"/>
      <c r="O136" s="9">
        <v>399655781.65</v>
      </c>
      <c r="P136" s="9">
        <v>29849401.72</v>
      </c>
      <c r="Q136" s="9">
        <v>27149285.66</v>
      </c>
      <c r="R136" s="9">
        <v>38906244.36</v>
      </c>
      <c r="S136" s="9">
        <v>28738322.75</v>
      </c>
      <c r="T136" s="10">
        <v>0.980750829150056</v>
      </c>
      <c r="U136" s="10">
        <v>0.864076639466599</v>
      </c>
      <c r="V136" s="10">
        <v>0.0792643329566767</v>
      </c>
      <c r="W136" s="10"/>
      <c r="X136" s="11"/>
      <c r="Y136" s="11"/>
      <c r="Z136" s="11"/>
      <c r="AA136" s="11"/>
      <c r="AB136" s="9">
        <v>391470981.15</v>
      </c>
      <c r="AC136" s="9">
        <v>30070038.03</v>
      </c>
      <c r="AD136" s="9">
        <v>37618264.43</v>
      </c>
      <c r="AE136" s="9">
        <v>39304024.17</v>
      </c>
      <c r="AF136" s="9">
        <v>28282540.02</v>
      </c>
      <c r="AG136" s="10">
        <v>0.971045659643077</v>
      </c>
      <c r="AH136" s="10">
        <v>0.856123685155298</v>
      </c>
      <c r="AI136" s="10">
        <v>0.0822562725049462</v>
      </c>
      <c r="AJ136" s="10"/>
      <c r="AK136" s="11"/>
      <c r="AL136" s="11"/>
      <c r="AM136" s="11"/>
      <c r="AN136" s="11"/>
      <c r="AO136" s="9">
        <v>374911244.91</v>
      </c>
      <c r="AP136" s="9">
        <v>29563733.6</v>
      </c>
      <c r="AQ136" s="9">
        <v>29980530.3</v>
      </c>
      <c r="AR136" s="9">
        <v>39176543.2999999</v>
      </c>
      <c r="AS136" s="9">
        <v>27282072.49</v>
      </c>
      <c r="AT136" s="10">
        <v>0.960062431900446</v>
      </c>
      <c r="AU136" s="10">
        <v>0.844224140979583</v>
      </c>
      <c r="AV136" s="10">
        <v>0.0858832173484583</v>
      </c>
      <c r="AW136" s="10"/>
      <c r="AX136" s="11"/>
      <c r="AY136" s="11"/>
      <c r="AZ136" s="11"/>
      <c r="BA136" s="11"/>
      <c r="BB136" s="9">
        <f t="shared" ref="BB136:BF136" si="184">SUM(B136,O136,)</f>
        <v>806220756.57</v>
      </c>
      <c r="BC136" s="9">
        <f t="shared" si="184"/>
        <v>59368228.49</v>
      </c>
      <c r="BD136" s="9">
        <f t="shared" si="184"/>
        <v>55767907.35</v>
      </c>
      <c r="BE136" s="9">
        <f t="shared" si="184"/>
        <v>76444650.13</v>
      </c>
      <c r="BF136" s="9">
        <f t="shared" si="184"/>
        <v>56905796.54</v>
      </c>
      <c r="BG136" s="10">
        <f t="shared" ref="BG136:BI136" si="185">AVERAGE(G136,T136,AT136,AG136)</f>
        <v>0.973152437460909</v>
      </c>
      <c r="BH136" s="10">
        <f t="shared" si="185"/>
        <v>0.85712527626702</v>
      </c>
      <c r="BI136" s="10">
        <f t="shared" si="185"/>
        <v>0.0816670389416895</v>
      </c>
      <c r="BJ136" s="11"/>
      <c r="BK136" s="11"/>
      <c r="BL136" s="11"/>
      <c r="BM136" s="11"/>
      <c r="BN136" s="11"/>
    </row>
    <row r="137" s="1" customFormat="1" spans="1:66">
      <c r="A137" s="12" t="s">
        <v>148</v>
      </c>
      <c r="B137" s="12">
        <v>1574394661.76</v>
      </c>
      <c r="C137" s="12">
        <v>119902451.06</v>
      </c>
      <c r="D137" s="12">
        <v>134846329.85</v>
      </c>
      <c r="E137" s="12">
        <v>148142540.71</v>
      </c>
      <c r="F137" s="12">
        <v>113483547.58</v>
      </c>
      <c r="G137" s="13">
        <v>0.978913260760225</v>
      </c>
      <c r="H137" s="13">
        <v>0.85160231958279</v>
      </c>
      <c r="I137" s="13">
        <v>0.0832301209445015</v>
      </c>
      <c r="J137" s="13"/>
      <c r="K137" s="11"/>
      <c r="L137" s="11"/>
      <c r="M137" s="11"/>
      <c r="N137" s="11"/>
      <c r="O137" s="12">
        <v>1544926911.63</v>
      </c>
      <c r="P137" s="12">
        <v>120063567.32</v>
      </c>
      <c r="Q137" s="12">
        <v>108775852.42</v>
      </c>
      <c r="R137" s="12">
        <v>151885489.54</v>
      </c>
      <c r="S137" s="12">
        <v>114808784.89</v>
      </c>
      <c r="T137" s="13">
        <v>0.978913260760225</v>
      </c>
      <c r="U137" s="13">
        <v>0.85160231958279</v>
      </c>
      <c r="V137" s="13">
        <v>0.0832301209445015</v>
      </c>
      <c r="W137" s="13"/>
      <c r="X137" s="11"/>
      <c r="Y137" s="11"/>
      <c r="Z137" s="11"/>
      <c r="AA137" s="11"/>
      <c r="AB137" s="12">
        <v>1521310576.18</v>
      </c>
      <c r="AC137" s="12">
        <v>119945606.41</v>
      </c>
      <c r="AD137" s="12">
        <v>138247180.26</v>
      </c>
      <c r="AE137" s="12">
        <v>151193629.69</v>
      </c>
      <c r="AF137" s="12">
        <v>113538908.67</v>
      </c>
      <c r="AG137" s="13">
        <v>0.960252589326411</v>
      </c>
      <c r="AH137" s="13">
        <v>0.837067543356733</v>
      </c>
      <c r="AI137" s="13">
        <v>0.0854997003241326</v>
      </c>
      <c r="AJ137" s="13"/>
      <c r="AK137" s="11"/>
      <c r="AL137" s="11"/>
      <c r="AM137" s="11"/>
      <c r="AN137" s="11"/>
      <c r="AO137" s="12">
        <v>1537171641.09</v>
      </c>
      <c r="AP137" s="12">
        <v>119253603.78</v>
      </c>
      <c r="AQ137" s="12">
        <v>127530467.44</v>
      </c>
      <c r="AR137" s="12">
        <v>154656862.41</v>
      </c>
      <c r="AS137" s="12">
        <v>109445755.91</v>
      </c>
      <c r="AT137" s="13">
        <v>0.861468599954486</v>
      </c>
      <c r="AU137" s="13">
        <v>0.725980894784699</v>
      </c>
      <c r="AV137" s="13">
        <v>0.0889392145575273</v>
      </c>
      <c r="AW137" s="13"/>
      <c r="AX137" s="11"/>
      <c r="AY137" s="11"/>
      <c r="AZ137" s="11"/>
      <c r="BA137" s="11"/>
      <c r="BB137" s="12">
        <v>1574394661.76</v>
      </c>
      <c r="BC137" s="12">
        <v>119902451.06</v>
      </c>
      <c r="BD137" s="12">
        <v>134846329.85</v>
      </c>
      <c r="BE137" s="12">
        <v>148142540.71</v>
      </c>
      <c r="BF137" s="12">
        <v>113483547.58</v>
      </c>
      <c r="BG137" s="13">
        <v>0.978913260760225</v>
      </c>
      <c r="BH137" s="13">
        <v>0.85160231958279</v>
      </c>
      <c r="BI137" s="13">
        <v>0.0832301209445015</v>
      </c>
      <c r="BJ137" s="11"/>
      <c r="BK137" s="11"/>
      <c r="BL137" s="11"/>
      <c r="BM137" s="11"/>
      <c r="BN137" s="11"/>
    </row>
    <row r="138" s="1" customFormat="1" spans="1:66">
      <c r="A138" s="9" t="s">
        <v>149</v>
      </c>
      <c r="B138" s="9">
        <v>629783265.71</v>
      </c>
      <c r="C138" s="9">
        <v>44115429.9499998</v>
      </c>
      <c r="D138" s="9">
        <v>50543106.6399999</v>
      </c>
      <c r="E138" s="9">
        <v>46820719.2099999</v>
      </c>
      <c r="F138" s="9">
        <v>43800889.5699998</v>
      </c>
      <c r="G138" s="10">
        <v>0.988487746453376</v>
      </c>
      <c r="H138" s="10">
        <v>0.960965021371792</v>
      </c>
      <c r="I138" s="10">
        <v>0.526760724321587</v>
      </c>
      <c r="J138" s="10"/>
      <c r="K138" s="11"/>
      <c r="L138" s="11"/>
      <c r="M138" s="11"/>
      <c r="N138" s="11"/>
      <c r="O138" s="9">
        <v>626861727.2</v>
      </c>
      <c r="P138" s="9">
        <v>44827473.1999999</v>
      </c>
      <c r="Q138" s="9">
        <v>42418145.9799999</v>
      </c>
      <c r="R138" s="9">
        <v>47494887.0699999</v>
      </c>
      <c r="S138" s="9">
        <v>43798847.6999999</v>
      </c>
      <c r="T138" s="10">
        <v>0.988487746453376</v>
      </c>
      <c r="U138" s="10">
        <v>0.960965021371792</v>
      </c>
      <c r="V138" s="10">
        <v>0.526760724321587</v>
      </c>
      <c r="W138" s="10"/>
      <c r="X138" s="11"/>
      <c r="Y138" s="11"/>
      <c r="Z138" s="11"/>
      <c r="AA138" s="11"/>
      <c r="AB138" s="9">
        <v>619474682.72</v>
      </c>
      <c r="AC138" s="9">
        <v>45551218.76</v>
      </c>
      <c r="AD138" s="9">
        <v>50288317.69</v>
      </c>
      <c r="AE138" s="9">
        <v>48927997.85</v>
      </c>
      <c r="AF138" s="9">
        <v>44191148.89</v>
      </c>
      <c r="AG138" s="10">
        <v>0.486783227567741</v>
      </c>
      <c r="AH138" s="10">
        <v>0.451593676748005</v>
      </c>
      <c r="AI138" s="10">
        <v>0.0394915233946011</v>
      </c>
      <c r="AJ138" s="10"/>
      <c r="AK138" s="11"/>
      <c r="AL138" s="11"/>
      <c r="AM138" s="11"/>
      <c r="AN138" s="11"/>
      <c r="AO138" s="9">
        <v>626292896.19</v>
      </c>
      <c r="AP138" s="9">
        <v>46043815.7099999</v>
      </c>
      <c r="AQ138" s="9">
        <v>48575907.09</v>
      </c>
      <c r="AR138" s="9">
        <v>50248174.9499999</v>
      </c>
      <c r="AS138" s="9">
        <v>40692691.7799999</v>
      </c>
      <c r="AT138" s="10">
        <v>0.44189095921477</v>
      </c>
      <c r="AU138" s="10">
        <v>0.404917112118915</v>
      </c>
      <c r="AV138" s="10">
        <v>0.0401155555616872</v>
      </c>
      <c r="AW138" s="10"/>
      <c r="AX138" s="11"/>
      <c r="AY138" s="11"/>
      <c r="AZ138" s="11"/>
      <c r="BA138" s="11"/>
      <c r="BB138" s="9">
        <f t="shared" ref="BB138:BF138" si="186">SUM(B138,O138,)</f>
        <v>1256644992.91</v>
      </c>
      <c r="BC138" s="9">
        <f t="shared" si="186"/>
        <v>88942903.1499997</v>
      </c>
      <c r="BD138" s="9">
        <f t="shared" si="186"/>
        <v>92961252.6199998</v>
      </c>
      <c r="BE138" s="9">
        <f t="shared" si="186"/>
        <v>94315606.2799998</v>
      </c>
      <c r="BF138" s="9">
        <f t="shared" si="186"/>
        <v>87599737.2699997</v>
      </c>
      <c r="BG138" s="10">
        <f t="shared" ref="BG138:BI138" si="187">AVERAGE(G138,T138,AT138,AG138)</f>
        <v>0.726412419922316</v>
      </c>
      <c r="BH138" s="10">
        <f t="shared" si="187"/>
        <v>0.694610207902626</v>
      </c>
      <c r="BI138" s="10">
        <f t="shared" si="187"/>
        <v>0.283282131899866</v>
      </c>
      <c r="BJ138" s="11"/>
      <c r="BK138" s="11"/>
      <c r="BL138" s="11"/>
      <c r="BM138" s="11"/>
      <c r="BN138" s="11"/>
    </row>
    <row r="139" s="1" customFormat="1" spans="1:66">
      <c r="A139" s="9" t="s">
        <v>150</v>
      </c>
      <c r="B139" s="9">
        <v>288979704.67</v>
      </c>
      <c r="C139" s="9">
        <v>22925472.53</v>
      </c>
      <c r="D139" s="9">
        <v>23993430.95</v>
      </c>
      <c r="E139" s="9">
        <v>28238787.73</v>
      </c>
      <c r="F139" s="9">
        <v>21112224.86</v>
      </c>
      <c r="G139" s="10">
        <v>0.983162295435381</v>
      </c>
      <c r="H139" s="10">
        <v>0.627006335372574</v>
      </c>
      <c r="I139" s="10">
        <v>0.222405839918643</v>
      </c>
      <c r="J139" s="10"/>
      <c r="K139" s="11"/>
      <c r="L139" s="11"/>
      <c r="M139" s="11"/>
      <c r="N139" s="11"/>
      <c r="O139" s="9">
        <v>287867005.52</v>
      </c>
      <c r="P139" s="9">
        <v>23287865.57</v>
      </c>
      <c r="Q139" s="9">
        <v>20434638.55</v>
      </c>
      <c r="R139" s="9">
        <v>29772787.92</v>
      </c>
      <c r="S139" s="9">
        <v>22183527.41</v>
      </c>
      <c r="T139" s="10">
        <v>0.983162295435381</v>
      </c>
      <c r="U139" s="10">
        <v>0.627006335372574</v>
      </c>
      <c r="V139" s="10">
        <v>0.222405839918643</v>
      </c>
      <c r="W139" s="10"/>
      <c r="X139" s="11"/>
      <c r="Y139" s="11"/>
      <c r="Z139" s="11"/>
      <c r="AA139" s="11"/>
      <c r="AB139" s="9">
        <v>291388855.47</v>
      </c>
      <c r="AC139" s="9">
        <v>23559239.93</v>
      </c>
      <c r="AD139" s="9">
        <v>25074155.24</v>
      </c>
      <c r="AE139" s="9">
        <v>30404943.01</v>
      </c>
      <c r="AF139" s="9">
        <v>21806576.49</v>
      </c>
      <c r="AG139" s="10">
        <v>0.962758174084086</v>
      </c>
      <c r="AH139" s="10">
        <v>0.611207739270334</v>
      </c>
      <c r="AI139" s="10">
        <v>0.254179831114402</v>
      </c>
      <c r="AJ139" s="10"/>
      <c r="AK139" s="11"/>
      <c r="AL139" s="11"/>
      <c r="AM139" s="11"/>
      <c r="AN139" s="11"/>
      <c r="AO139" s="9">
        <v>286156895.87</v>
      </c>
      <c r="AP139" s="9">
        <v>23728427.62</v>
      </c>
      <c r="AQ139" s="9">
        <v>26138455.88</v>
      </c>
      <c r="AR139" s="9">
        <v>31293857.72</v>
      </c>
      <c r="AS139" s="9">
        <v>21552349.49</v>
      </c>
      <c r="AT139" s="10">
        <v>0.458508738088975</v>
      </c>
      <c r="AU139" s="10">
        <v>0.34927557353908</v>
      </c>
      <c r="AV139" s="10">
        <v>0.304558543716499</v>
      </c>
      <c r="AW139" s="10"/>
      <c r="AX139" s="11"/>
      <c r="AY139" s="11"/>
      <c r="AZ139" s="11"/>
      <c r="BA139" s="11"/>
      <c r="BB139" s="9">
        <f t="shared" ref="BB139:BF139" si="188">SUM(B139,O139,)</f>
        <v>576846710.19</v>
      </c>
      <c r="BC139" s="9">
        <f t="shared" si="188"/>
        <v>46213338.1</v>
      </c>
      <c r="BD139" s="9">
        <f t="shared" si="188"/>
        <v>44428069.5</v>
      </c>
      <c r="BE139" s="9">
        <f t="shared" si="188"/>
        <v>58011575.65</v>
      </c>
      <c r="BF139" s="9">
        <f t="shared" si="188"/>
        <v>43295752.27</v>
      </c>
      <c r="BG139" s="10">
        <f t="shared" ref="BG139:BI139" si="189">AVERAGE(G139,T139,AT139,AG139)</f>
        <v>0.846897875760956</v>
      </c>
      <c r="BH139" s="10">
        <f t="shared" si="189"/>
        <v>0.55362399588864</v>
      </c>
      <c r="BI139" s="10">
        <f t="shared" si="189"/>
        <v>0.250887513667047</v>
      </c>
      <c r="BJ139" s="11"/>
      <c r="BK139" s="11"/>
      <c r="BL139" s="11"/>
      <c r="BM139" s="11"/>
      <c r="BN139" s="11"/>
    </row>
    <row r="140" s="1" customFormat="1" spans="1:66">
      <c r="A140" s="9" t="s">
        <v>151</v>
      </c>
      <c r="B140" s="9">
        <v>483717887.24</v>
      </c>
      <c r="C140" s="9">
        <v>38595564.4899999</v>
      </c>
      <c r="D140" s="9">
        <v>39660507.8699999</v>
      </c>
      <c r="E140" s="9">
        <v>39929808.6199998</v>
      </c>
      <c r="F140" s="9">
        <v>37777870.7899999</v>
      </c>
      <c r="G140" s="10">
        <v>0.488093272572705</v>
      </c>
      <c r="H140" s="10">
        <v>0.472744831772424</v>
      </c>
      <c r="I140" s="10">
        <v>0.0417638934791715</v>
      </c>
      <c r="J140" s="10"/>
      <c r="K140" s="11"/>
      <c r="L140" s="11"/>
      <c r="M140" s="11"/>
      <c r="N140" s="11"/>
      <c r="O140" s="9">
        <v>490531538.45</v>
      </c>
      <c r="P140" s="9">
        <v>39684588.2199999</v>
      </c>
      <c r="Q140" s="9">
        <v>36873190.3899999</v>
      </c>
      <c r="R140" s="9">
        <v>40973013.8399999</v>
      </c>
      <c r="S140" s="9">
        <v>38739561.0699999</v>
      </c>
      <c r="T140" s="10">
        <v>0.488093272572705</v>
      </c>
      <c r="U140" s="10">
        <v>0.472744831772424</v>
      </c>
      <c r="V140" s="10">
        <v>0.0417638934791715</v>
      </c>
      <c r="W140" s="10"/>
      <c r="X140" s="11"/>
      <c r="Y140" s="11"/>
      <c r="Z140" s="11"/>
      <c r="AA140" s="11"/>
      <c r="AB140" s="9">
        <v>493275422.23</v>
      </c>
      <c r="AC140" s="9">
        <v>40427360.68</v>
      </c>
      <c r="AD140" s="9">
        <v>40207965.36</v>
      </c>
      <c r="AE140" s="9">
        <v>41268657.44</v>
      </c>
      <c r="AF140" s="9">
        <v>39088328.86</v>
      </c>
      <c r="AG140" s="10">
        <v>0.483439039829993</v>
      </c>
      <c r="AH140" s="10">
        <v>0.473583722911632</v>
      </c>
      <c r="AI140" s="10">
        <v>0.0418312524607781</v>
      </c>
      <c r="AJ140" s="10"/>
      <c r="AK140" s="11"/>
      <c r="AL140" s="11"/>
      <c r="AM140" s="11"/>
      <c r="AN140" s="11"/>
      <c r="AO140" s="9">
        <v>503531451.11</v>
      </c>
      <c r="AP140" s="9">
        <v>41789015.6399999</v>
      </c>
      <c r="AQ140" s="9">
        <v>42133170.8799999</v>
      </c>
      <c r="AR140" s="9">
        <v>43069938.2199998</v>
      </c>
      <c r="AS140" s="9">
        <v>40633205.3599999</v>
      </c>
      <c r="AT140" s="10">
        <v>0.486170884115136</v>
      </c>
      <c r="AU140" s="10">
        <v>0.471711906718403</v>
      </c>
      <c r="AV140" s="10">
        <v>0.0427678729154407</v>
      </c>
      <c r="AW140" s="10"/>
      <c r="AX140" s="11"/>
      <c r="AY140" s="11"/>
      <c r="AZ140" s="11"/>
      <c r="BA140" s="11"/>
      <c r="BB140" s="9">
        <f t="shared" ref="BB140:BF140" si="190">SUM(B140,O140,)</f>
        <v>974249425.69</v>
      </c>
      <c r="BC140" s="9">
        <f t="shared" si="190"/>
        <v>78280152.7099997</v>
      </c>
      <c r="BD140" s="9">
        <f t="shared" si="190"/>
        <v>76533698.2599998</v>
      </c>
      <c r="BE140" s="9">
        <f t="shared" si="190"/>
        <v>80902822.4599997</v>
      </c>
      <c r="BF140" s="9">
        <f t="shared" si="190"/>
        <v>76517431.8599998</v>
      </c>
      <c r="BG140" s="10">
        <f t="shared" ref="BG140:BI140" si="191">AVERAGE(G140,T140,AT140,AG140)</f>
        <v>0.486449117272635</v>
      </c>
      <c r="BH140" s="10">
        <f t="shared" si="191"/>
        <v>0.472696323293721</v>
      </c>
      <c r="BI140" s="10">
        <f t="shared" si="191"/>
        <v>0.0420317280836405</v>
      </c>
      <c r="BJ140" s="11"/>
      <c r="BK140" s="11"/>
      <c r="BL140" s="11"/>
      <c r="BM140" s="11"/>
      <c r="BN140" s="11"/>
    </row>
    <row r="141" s="1" customFormat="1" spans="1:66">
      <c r="A141" s="12" t="s">
        <v>152</v>
      </c>
      <c r="B141" s="12">
        <v>1402480857.62</v>
      </c>
      <c r="C141" s="12">
        <v>105636466.97</v>
      </c>
      <c r="D141" s="12">
        <v>114197045.46</v>
      </c>
      <c r="E141" s="12">
        <v>114989315.56</v>
      </c>
      <c r="F141" s="12">
        <v>102690985.22</v>
      </c>
      <c r="G141" s="13">
        <v>0.989878040372818</v>
      </c>
      <c r="H141" s="13">
        <v>0.759988262992241</v>
      </c>
      <c r="I141" s="13">
        <v>0.247644677803405</v>
      </c>
      <c r="J141" s="13"/>
      <c r="K141" s="11"/>
      <c r="L141" s="11"/>
      <c r="M141" s="11"/>
      <c r="N141" s="11"/>
      <c r="O141" s="12">
        <v>1405260271.17</v>
      </c>
      <c r="P141" s="12">
        <v>107799926.99</v>
      </c>
      <c r="Q141" s="12">
        <v>99725974.9199999</v>
      </c>
      <c r="R141" s="12">
        <v>118240688.83</v>
      </c>
      <c r="S141" s="12">
        <v>104721936.18</v>
      </c>
      <c r="T141" s="13">
        <v>0.989878040372818</v>
      </c>
      <c r="U141" s="13">
        <v>0.759988262992241</v>
      </c>
      <c r="V141" s="13">
        <v>0.247644677803405</v>
      </c>
      <c r="W141" s="13"/>
      <c r="X141" s="11"/>
      <c r="Y141" s="11"/>
      <c r="Z141" s="11"/>
      <c r="AA141" s="11"/>
      <c r="AB141" s="12">
        <v>1404138960.42</v>
      </c>
      <c r="AC141" s="12">
        <v>109537819.37</v>
      </c>
      <c r="AD141" s="12">
        <v>115570438.29</v>
      </c>
      <c r="AE141" s="12">
        <v>120601598.3</v>
      </c>
      <c r="AF141" s="12">
        <v>105086054.24</v>
      </c>
      <c r="AG141" s="13">
        <v>0.768670550634393</v>
      </c>
      <c r="AH141" s="13">
        <v>0.68738828556136</v>
      </c>
      <c r="AI141" s="13">
        <v>0.245385804067221</v>
      </c>
      <c r="AJ141" s="13"/>
      <c r="AK141" s="11"/>
      <c r="AL141" s="11"/>
      <c r="AM141" s="11"/>
      <c r="AN141" s="11"/>
      <c r="AO141" s="12">
        <v>1415981243.17</v>
      </c>
      <c r="AP141" s="12">
        <v>111561258.97</v>
      </c>
      <c r="AQ141" s="12">
        <v>116847533.85</v>
      </c>
      <c r="AR141" s="12">
        <v>124611970.89</v>
      </c>
      <c r="AS141" s="12">
        <v>102878246.63</v>
      </c>
      <c r="AT141" s="13">
        <v>0.46214047286159</v>
      </c>
      <c r="AU141" s="13">
        <v>0.414314844862732</v>
      </c>
      <c r="AV141" s="13">
        <v>0.294349359989982</v>
      </c>
      <c r="AW141" s="13"/>
      <c r="AX141" s="11"/>
      <c r="AY141" s="11"/>
      <c r="AZ141" s="11"/>
      <c r="BA141" s="11"/>
      <c r="BB141" s="12">
        <v>1402480857.62</v>
      </c>
      <c r="BC141" s="12">
        <v>105636466.97</v>
      </c>
      <c r="BD141" s="12">
        <v>114197045.46</v>
      </c>
      <c r="BE141" s="12">
        <v>114989315.56</v>
      </c>
      <c r="BF141" s="12">
        <v>102690985.22</v>
      </c>
      <c r="BG141" s="13">
        <v>0.989878040372818</v>
      </c>
      <c r="BH141" s="13">
        <v>0.759988262992241</v>
      </c>
      <c r="BI141" s="13">
        <v>0.247644677803405</v>
      </c>
      <c r="BJ141" s="11"/>
      <c r="BK141" s="11"/>
      <c r="BL141" s="11"/>
      <c r="BM141" s="11"/>
      <c r="BN141" s="11"/>
    </row>
    <row r="142" s="1" customFormat="1" spans="1:66">
      <c r="A142" s="9" t="s">
        <v>153</v>
      </c>
      <c r="B142" s="9">
        <v>441311437.69</v>
      </c>
      <c r="C142" s="9">
        <v>31537433.62</v>
      </c>
      <c r="D142" s="9">
        <v>34694507.07</v>
      </c>
      <c r="E142" s="9">
        <v>40049732.8499999</v>
      </c>
      <c r="F142" s="9">
        <v>28773263.84</v>
      </c>
      <c r="G142" s="10">
        <v>0.469597615774076</v>
      </c>
      <c r="H142" s="10">
        <v>0.357698072183412</v>
      </c>
      <c r="I142" s="10">
        <v>0.0471952136852715</v>
      </c>
      <c r="J142" s="10"/>
      <c r="K142" s="11"/>
      <c r="L142" s="11"/>
      <c r="M142" s="11"/>
      <c r="N142" s="11"/>
      <c r="O142" s="9">
        <v>438891972.46</v>
      </c>
      <c r="P142" s="9">
        <v>31555590.11</v>
      </c>
      <c r="Q142" s="9">
        <v>27603808.93</v>
      </c>
      <c r="R142" s="9">
        <v>41427200.85</v>
      </c>
      <c r="S142" s="9">
        <v>29636859.76</v>
      </c>
      <c r="T142" s="10">
        <v>0.469597615774076</v>
      </c>
      <c r="U142" s="10">
        <v>0.357698072183412</v>
      </c>
      <c r="V142" s="10">
        <v>0.0471952136852715</v>
      </c>
      <c r="W142" s="10"/>
      <c r="X142" s="11"/>
      <c r="Y142" s="11"/>
      <c r="Z142" s="11"/>
      <c r="AA142" s="11"/>
      <c r="AB142" s="9">
        <v>429243658.19</v>
      </c>
      <c r="AC142" s="9">
        <v>31085089.47</v>
      </c>
      <c r="AD142" s="9">
        <v>34643912.58</v>
      </c>
      <c r="AE142" s="9">
        <v>41817004.72</v>
      </c>
      <c r="AF142" s="9">
        <v>29156294.64</v>
      </c>
      <c r="AG142" s="10">
        <v>0.468975562514281</v>
      </c>
      <c r="AH142" s="10">
        <v>0.34861768358621</v>
      </c>
      <c r="AI142" s="10">
        <v>0.0487101019690431</v>
      </c>
      <c r="AJ142" s="10"/>
      <c r="AK142" s="11"/>
      <c r="AL142" s="11"/>
      <c r="AM142" s="11"/>
      <c r="AN142" s="11"/>
      <c r="AO142" s="9">
        <v>430381266.19</v>
      </c>
      <c r="AP142" s="9">
        <v>31514254.43</v>
      </c>
      <c r="AQ142" s="9">
        <v>34779219.84</v>
      </c>
      <c r="AR142" s="9">
        <v>42584591.15</v>
      </c>
      <c r="AS142" s="9">
        <v>27425824.22</v>
      </c>
      <c r="AT142" s="10">
        <v>0.435133635811037</v>
      </c>
      <c r="AU142" s="10">
        <v>0.32201582167826</v>
      </c>
      <c r="AV142" s="10">
        <v>0.0494731003593453</v>
      </c>
      <c r="AW142" s="10"/>
      <c r="AX142" s="11"/>
      <c r="AY142" s="11"/>
      <c r="AZ142" s="11"/>
      <c r="BA142" s="11"/>
      <c r="BB142" s="9">
        <f t="shared" ref="BB142:BF142" si="192">SUM(B142,O142,)</f>
        <v>880203410.15</v>
      </c>
      <c r="BC142" s="9">
        <f t="shared" si="192"/>
        <v>63093023.73</v>
      </c>
      <c r="BD142" s="9">
        <f t="shared" si="192"/>
        <v>62298316</v>
      </c>
      <c r="BE142" s="9">
        <f t="shared" si="192"/>
        <v>81476933.6999999</v>
      </c>
      <c r="BF142" s="9">
        <f t="shared" si="192"/>
        <v>58410123.6</v>
      </c>
      <c r="BG142" s="10">
        <f t="shared" ref="BG142:BI142" si="193">AVERAGE(G142,T142,AT142,AG142)</f>
        <v>0.460826107468367</v>
      </c>
      <c r="BH142" s="10">
        <f t="shared" si="193"/>
        <v>0.346507412407824</v>
      </c>
      <c r="BI142" s="10">
        <f t="shared" si="193"/>
        <v>0.0481434074247329</v>
      </c>
      <c r="BJ142" s="11"/>
      <c r="BK142" s="11"/>
      <c r="BL142" s="11"/>
      <c r="BM142" s="11"/>
      <c r="BN142" s="11"/>
    </row>
    <row r="143" s="1" customFormat="1" spans="1:66">
      <c r="A143" s="9" t="s">
        <v>154</v>
      </c>
      <c r="B143" s="9">
        <v>259645819.79</v>
      </c>
      <c r="C143" s="9">
        <v>18688339.61</v>
      </c>
      <c r="D143" s="9">
        <v>21606985.45</v>
      </c>
      <c r="E143" s="9">
        <v>22792705.63</v>
      </c>
      <c r="F143" s="9">
        <v>17513596.4</v>
      </c>
      <c r="G143" s="10">
        <v>0.495945984834369</v>
      </c>
      <c r="H143" s="10">
        <v>0.396752558005763</v>
      </c>
      <c r="I143" s="10">
        <v>0.0435059022967003</v>
      </c>
      <c r="J143" s="10"/>
      <c r="K143" s="11"/>
      <c r="L143" s="11"/>
      <c r="M143" s="11"/>
      <c r="N143" s="11"/>
      <c r="O143" s="9">
        <v>280367051.85</v>
      </c>
      <c r="P143" s="9">
        <v>19515986.44</v>
      </c>
      <c r="Q143" s="9">
        <v>16640267.1</v>
      </c>
      <c r="R143" s="9">
        <v>24395243.13</v>
      </c>
      <c r="S143" s="9">
        <v>19357750.23</v>
      </c>
      <c r="T143" s="10">
        <v>0.495945984834369</v>
      </c>
      <c r="U143" s="10">
        <v>0.396752558005763</v>
      </c>
      <c r="V143" s="10">
        <v>0.0435059022967003</v>
      </c>
      <c r="W143" s="10"/>
      <c r="X143" s="11"/>
      <c r="Y143" s="11"/>
      <c r="Z143" s="11"/>
      <c r="AA143" s="11"/>
      <c r="AB143" s="9">
        <v>274924198.72</v>
      </c>
      <c r="AC143" s="9">
        <v>19337411.34</v>
      </c>
      <c r="AD143" s="9">
        <v>27644075.43</v>
      </c>
      <c r="AE143" s="9">
        <v>23727794.62</v>
      </c>
      <c r="AF143" s="9">
        <v>18497053.29</v>
      </c>
      <c r="AG143" s="10">
        <v>0.478271185443998</v>
      </c>
      <c r="AH143" s="10">
        <v>0.389776074562129</v>
      </c>
      <c r="AI143" s="10">
        <v>0.0431533395941</v>
      </c>
      <c r="AJ143" s="10"/>
      <c r="AK143" s="11"/>
      <c r="AL143" s="11"/>
      <c r="AM143" s="11"/>
      <c r="AN143" s="11"/>
      <c r="AO143" s="9">
        <v>276720176.79</v>
      </c>
      <c r="AP143" s="9">
        <v>19339555.4</v>
      </c>
      <c r="AQ143" s="9">
        <v>19490728.35</v>
      </c>
      <c r="AR143" s="9">
        <v>24414890.5</v>
      </c>
      <c r="AS143" s="9">
        <v>18133867.66</v>
      </c>
      <c r="AT143" s="10">
        <v>0.468828452488623</v>
      </c>
      <c r="AU143" s="10">
        <v>0.37136901474123</v>
      </c>
      <c r="AV143" s="10">
        <v>0.0441147638441417</v>
      </c>
      <c r="AW143" s="10"/>
      <c r="AX143" s="11"/>
      <c r="AY143" s="11"/>
      <c r="AZ143" s="11"/>
      <c r="BA143" s="11"/>
      <c r="BB143" s="9">
        <f t="shared" ref="BB143:BF143" si="194">SUM(B143,O143,)</f>
        <v>540012871.64</v>
      </c>
      <c r="BC143" s="9">
        <f t="shared" si="194"/>
        <v>38204326.05</v>
      </c>
      <c r="BD143" s="9">
        <f t="shared" si="194"/>
        <v>38247252.55</v>
      </c>
      <c r="BE143" s="9">
        <f t="shared" si="194"/>
        <v>47187948.76</v>
      </c>
      <c r="BF143" s="9">
        <f t="shared" si="194"/>
        <v>36871346.63</v>
      </c>
      <c r="BG143" s="10">
        <f t="shared" ref="BG143:BI143" si="195">AVERAGE(G143,T143,AT143,AG143)</f>
        <v>0.48474790190034</v>
      </c>
      <c r="BH143" s="10">
        <f t="shared" si="195"/>
        <v>0.388662551328721</v>
      </c>
      <c r="BI143" s="10">
        <f t="shared" si="195"/>
        <v>0.0435699770079106</v>
      </c>
      <c r="BJ143" s="11"/>
      <c r="BK143" s="11"/>
      <c r="BL143" s="11"/>
      <c r="BM143" s="11"/>
      <c r="BN143" s="11"/>
    </row>
    <row r="144" s="1" customFormat="1" spans="1:66">
      <c r="A144" s="9" t="s">
        <v>155</v>
      </c>
      <c r="B144" s="9">
        <v>412888366.17</v>
      </c>
      <c r="C144" s="9">
        <v>28776916.7</v>
      </c>
      <c r="D144" s="9">
        <v>31056749.99</v>
      </c>
      <c r="E144" s="9">
        <v>34689066.82</v>
      </c>
      <c r="F144" s="9">
        <v>26890562.95</v>
      </c>
      <c r="G144" s="10">
        <v>0.485094239967802</v>
      </c>
      <c r="H144" s="10">
        <v>0.392227078235912</v>
      </c>
      <c r="I144" s="10">
        <v>0.0445703137447242</v>
      </c>
      <c r="J144" s="10"/>
      <c r="K144" s="11"/>
      <c r="L144" s="11"/>
      <c r="M144" s="11"/>
      <c r="N144" s="11"/>
      <c r="O144" s="9">
        <v>410005822.59</v>
      </c>
      <c r="P144" s="9">
        <v>29551339.15</v>
      </c>
      <c r="Q144" s="9">
        <v>26464827.54</v>
      </c>
      <c r="R144" s="9">
        <v>36548176.3</v>
      </c>
      <c r="S144" s="9">
        <v>28670368.81</v>
      </c>
      <c r="T144" s="10">
        <v>0.485094239967802</v>
      </c>
      <c r="U144" s="10">
        <v>0.392227078235912</v>
      </c>
      <c r="V144" s="10">
        <v>0.0445703137447242</v>
      </c>
      <c r="W144" s="10"/>
      <c r="X144" s="11"/>
      <c r="Y144" s="11"/>
      <c r="Z144" s="11"/>
      <c r="AA144" s="11"/>
      <c r="AB144" s="9">
        <v>405640962.17</v>
      </c>
      <c r="AC144" s="9">
        <v>29554011.45</v>
      </c>
      <c r="AD144" s="9">
        <v>33213842.91</v>
      </c>
      <c r="AE144" s="9">
        <v>36800418.83</v>
      </c>
      <c r="AF144" s="9">
        <v>28271521.85</v>
      </c>
      <c r="AG144" s="10">
        <v>0.478302613806425</v>
      </c>
      <c r="AH144" s="10">
        <v>0.384119566418533</v>
      </c>
      <c r="AI144" s="10">
        <v>0.0453608267680044</v>
      </c>
      <c r="AJ144" s="10"/>
      <c r="AK144" s="11"/>
      <c r="AL144" s="11"/>
      <c r="AM144" s="11"/>
      <c r="AN144" s="11"/>
      <c r="AO144" s="9">
        <v>404414508.26</v>
      </c>
      <c r="AP144" s="9">
        <v>30063000.94</v>
      </c>
      <c r="AQ144" s="9">
        <v>34169158.43</v>
      </c>
      <c r="AR144" s="9">
        <v>37806770.96</v>
      </c>
      <c r="AS144" s="9">
        <v>27595355.47</v>
      </c>
      <c r="AT144" s="10">
        <v>0.458958763382855</v>
      </c>
      <c r="AU144" s="10">
        <v>0.364952557032657</v>
      </c>
      <c r="AV144" s="10">
        <v>0.0467425997186206</v>
      </c>
      <c r="AW144" s="10"/>
      <c r="AX144" s="11"/>
      <c r="AY144" s="11"/>
      <c r="AZ144" s="11"/>
      <c r="BA144" s="11"/>
      <c r="BB144" s="9">
        <f t="shared" ref="BB144:BF144" si="196">SUM(B144,O144,)</f>
        <v>822894188.76</v>
      </c>
      <c r="BC144" s="9">
        <f t="shared" si="196"/>
        <v>58328255.85</v>
      </c>
      <c r="BD144" s="9">
        <f t="shared" si="196"/>
        <v>57521577.53</v>
      </c>
      <c r="BE144" s="9">
        <f t="shared" si="196"/>
        <v>71237243.12</v>
      </c>
      <c r="BF144" s="9">
        <f t="shared" si="196"/>
        <v>55560931.76</v>
      </c>
      <c r="BG144" s="10">
        <f t="shared" ref="BG144:BI144" si="197">AVERAGE(G144,T144,AT144,AG144)</f>
        <v>0.476862464281221</v>
      </c>
      <c r="BH144" s="10">
        <f t="shared" si="197"/>
        <v>0.383381569980753</v>
      </c>
      <c r="BI144" s="10">
        <f t="shared" si="197"/>
        <v>0.0453110134940184</v>
      </c>
      <c r="BJ144" s="11"/>
      <c r="BK144" s="11"/>
      <c r="BL144" s="11"/>
      <c r="BM144" s="11"/>
      <c r="BN144" s="11"/>
    </row>
    <row r="145" s="1" customFormat="1" spans="1:66">
      <c r="A145" s="12" t="s">
        <v>156</v>
      </c>
      <c r="B145" s="12">
        <v>1113845623.65</v>
      </c>
      <c r="C145" s="12">
        <v>79002689.9299999</v>
      </c>
      <c r="D145" s="12">
        <v>87358242.5099999</v>
      </c>
      <c r="E145" s="12">
        <v>97531505.2999999</v>
      </c>
      <c r="F145" s="12">
        <v>73177423.19</v>
      </c>
      <c r="G145" s="13">
        <v>0.481655731039258</v>
      </c>
      <c r="H145" s="13">
        <v>0.379332364049245</v>
      </c>
      <c r="I145" s="13">
        <v>0.0453262228789919</v>
      </c>
      <c r="J145" s="13"/>
      <c r="K145" s="11"/>
      <c r="L145" s="11"/>
      <c r="M145" s="11"/>
      <c r="N145" s="11"/>
      <c r="O145" s="12">
        <v>1129264846.9</v>
      </c>
      <c r="P145" s="12">
        <v>80622915.7</v>
      </c>
      <c r="Q145" s="12">
        <v>70708903.5700001</v>
      </c>
      <c r="R145" s="12">
        <v>102370620.28</v>
      </c>
      <c r="S145" s="12">
        <v>77664978.8000001</v>
      </c>
      <c r="T145" s="13">
        <v>0.481655731039258</v>
      </c>
      <c r="U145" s="13">
        <v>0.379332364049245</v>
      </c>
      <c r="V145" s="13">
        <v>0.0453262228789919</v>
      </c>
      <c r="W145" s="13"/>
      <c r="X145" s="11"/>
      <c r="Y145" s="11"/>
      <c r="Z145" s="11"/>
      <c r="AA145" s="11"/>
      <c r="AB145" s="12">
        <v>1109808819.08</v>
      </c>
      <c r="AC145" s="12">
        <v>79976512.26</v>
      </c>
      <c r="AD145" s="12">
        <v>95501830.92</v>
      </c>
      <c r="AE145" s="12">
        <v>102345218.17</v>
      </c>
      <c r="AF145" s="12">
        <v>75924869.78</v>
      </c>
      <c r="AG145" s="13">
        <v>0.474669797634909</v>
      </c>
      <c r="AH145" s="13">
        <v>0.370925340419351</v>
      </c>
      <c r="AI145" s="13">
        <v>0.046109391280041</v>
      </c>
      <c r="AJ145" s="13"/>
      <c r="AK145" s="11"/>
      <c r="AL145" s="11"/>
      <c r="AM145" s="11"/>
      <c r="AN145" s="11"/>
      <c r="AO145" s="12">
        <v>1111515951.24</v>
      </c>
      <c r="AP145" s="12">
        <v>80916810.77</v>
      </c>
      <c r="AQ145" s="12">
        <v>88439106.62</v>
      </c>
      <c r="AR145" s="12">
        <v>104806252.61</v>
      </c>
      <c r="AS145" s="12">
        <v>73155047.35</v>
      </c>
      <c r="AT145" s="13">
        <v>0.452038622468313</v>
      </c>
      <c r="AU145" s="13">
        <v>0.349001350244918</v>
      </c>
      <c r="AV145" s="13">
        <v>0.0471456358737266</v>
      </c>
      <c r="AW145" s="13"/>
      <c r="AX145" s="11"/>
      <c r="AY145" s="11"/>
      <c r="AZ145" s="11"/>
      <c r="BA145" s="11"/>
      <c r="BB145" s="12">
        <v>1113845623.65</v>
      </c>
      <c r="BC145" s="12">
        <v>79002689.9299999</v>
      </c>
      <c r="BD145" s="12">
        <v>87358242.5099999</v>
      </c>
      <c r="BE145" s="12">
        <v>97531505.2999999</v>
      </c>
      <c r="BF145" s="12">
        <v>73177423.19</v>
      </c>
      <c r="BG145" s="13">
        <v>0.481655731039258</v>
      </c>
      <c r="BH145" s="13">
        <v>0.379332364049245</v>
      </c>
      <c r="BI145" s="13">
        <v>0.0453262228789919</v>
      </c>
      <c r="BJ145" s="11"/>
      <c r="BK145" s="11"/>
      <c r="BL145" s="11"/>
      <c r="BM145" s="11"/>
      <c r="BN145" s="11"/>
    </row>
    <row r="146" s="1" customFormat="1" spans="1:66">
      <c r="A146" s="14" t="s">
        <v>157</v>
      </c>
      <c r="B146" s="14">
        <v>4090721143.03</v>
      </c>
      <c r="C146" s="14">
        <v>304541607.96</v>
      </c>
      <c r="D146" s="14">
        <v>336401617.82</v>
      </c>
      <c r="E146" s="14">
        <v>360663361.569999</v>
      </c>
      <c r="F146" s="14">
        <v>289351955.99</v>
      </c>
      <c r="G146" s="15">
        <v>0.98319505543199</v>
      </c>
      <c r="H146" s="15">
        <v>0.840787821444958</v>
      </c>
      <c r="I146" s="15">
        <v>0.0865141604056825</v>
      </c>
      <c r="J146" s="15"/>
      <c r="K146" s="11"/>
      <c r="L146" s="11"/>
      <c r="M146" s="11"/>
      <c r="N146" s="11"/>
      <c r="O146" s="14">
        <v>4079452029.7</v>
      </c>
      <c r="P146" s="14">
        <v>308486410.01</v>
      </c>
      <c r="Q146" s="14">
        <v>279210730.91</v>
      </c>
      <c r="R146" s="14">
        <v>372496798.65</v>
      </c>
      <c r="S146" s="14">
        <v>297195699.87</v>
      </c>
      <c r="T146" s="15">
        <v>0.98319505543199</v>
      </c>
      <c r="U146" s="15">
        <v>0.840787821444958</v>
      </c>
      <c r="V146" s="15">
        <v>0.0865141604056825</v>
      </c>
      <c r="W146" s="15"/>
      <c r="X146" s="11"/>
      <c r="Y146" s="11"/>
      <c r="Z146" s="11"/>
      <c r="AA146" s="11"/>
      <c r="AB146" s="14">
        <v>4035258355.68</v>
      </c>
      <c r="AC146" s="14">
        <v>309459938.04</v>
      </c>
      <c r="AD146" s="14">
        <v>349319449.47</v>
      </c>
      <c r="AE146" s="14">
        <v>374140446.16</v>
      </c>
      <c r="AF146" s="14">
        <v>294549832.69</v>
      </c>
      <c r="AG146" s="15">
        <v>0.933332243047363</v>
      </c>
      <c r="AH146" s="15">
        <v>0.821960562351181</v>
      </c>
      <c r="AI146" s="15">
        <v>0.0873869255023453</v>
      </c>
      <c r="AJ146" s="15"/>
      <c r="AK146" s="11"/>
      <c r="AL146" s="11"/>
      <c r="AM146" s="11"/>
      <c r="AN146" s="11"/>
      <c r="AO146" s="14">
        <v>4064668835.5</v>
      </c>
      <c r="AP146" s="14">
        <v>311731673.52</v>
      </c>
      <c r="AQ146" s="14">
        <v>332817107.91</v>
      </c>
      <c r="AR146" s="14">
        <v>384075085.909999</v>
      </c>
      <c r="AS146" s="14">
        <v>285479049.89</v>
      </c>
      <c r="AT146" s="15">
        <v>0.822901284246135</v>
      </c>
      <c r="AU146" s="15">
        <v>0.685299099283077</v>
      </c>
      <c r="AV146" s="15">
        <v>0.0916367031837504</v>
      </c>
      <c r="AW146" s="15"/>
      <c r="AX146" s="11"/>
      <c r="AY146" s="11"/>
      <c r="AZ146" s="11"/>
      <c r="BA146" s="11"/>
      <c r="BB146" s="14">
        <v>4090721143.03</v>
      </c>
      <c r="BC146" s="14">
        <v>304541607.96</v>
      </c>
      <c r="BD146" s="14">
        <v>336401617.82</v>
      </c>
      <c r="BE146" s="14">
        <v>360663361.569999</v>
      </c>
      <c r="BF146" s="14">
        <v>289351955.99</v>
      </c>
      <c r="BG146" s="15">
        <v>0.98319505543199</v>
      </c>
      <c r="BH146" s="15">
        <v>0.840787821444958</v>
      </c>
      <c r="BI146" s="15">
        <v>0.0865141604056825</v>
      </c>
      <c r="BJ146" s="11"/>
      <c r="BK146" s="11"/>
      <c r="BL146" s="11"/>
      <c r="BM146" s="11"/>
      <c r="BN146" s="11"/>
    </row>
    <row r="147" s="1" customFormat="1" spans="1:66">
      <c r="A147" s="9" t="s">
        <v>160</v>
      </c>
      <c r="B147" s="9">
        <v>601583171.77</v>
      </c>
      <c r="C147" s="9">
        <v>46850172.7699999</v>
      </c>
      <c r="D147" s="9">
        <v>49080299.3299999</v>
      </c>
      <c r="E147" s="9">
        <v>50800564.8799998</v>
      </c>
      <c r="F147" s="9">
        <v>45096677.3199999</v>
      </c>
      <c r="G147" s="10">
        <v>0.94211847942943</v>
      </c>
      <c r="H147" s="10">
        <v>0.811580254756508</v>
      </c>
      <c r="I147" s="10">
        <v>0.0906103837926937</v>
      </c>
      <c r="J147" s="10"/>
      <c r="K147" s="11"/>
      <c r="L147" s="11"/>
      <c r="M147" s="11"/>
      <c r="N147" s="11"/>
      <c r="O147" s="9">
        <v>607776061.43</v>
      </c>
      <c r="P147" s="9">
        <v>47680280.99</v>
      </c>
      <c r="Q147" s="9">
        <v>43455426.12</v>
      </c>
      <c r="R147" s="9">
        <v>52612265.9099999</v>
      </c>
      <c r="S147" s="9">
        <v>46686956.3599999</v>
      </c>
      <c r="T147" s="10">
        <v>0.94211847942943</v>
      </c>
      <c r="U147" s="10">
        <v>0.811580254756508</v>
      </c>
      <c r="V147" s="10">
        <v>0.0906103837926937</v>
      </c>
      <c r="W147" s="10"/>
      <c r="X147" s="11"/>
      <c r="Y147" s="11"/>
      <c r="Z147" s="11"/>
      <c r="AA147" s="11"/>
      <c r="AB147" s="9">
        <v>603290129.23</v>
      </c>
      <c r="AC147" s="9">
        <v>47991299.52</v>
      </c>
      <c r="AD147" s="9">
        <v>52094427.88</v>
      </c>
      <c r="AE147" s="9">
        <v>52891734.4599999</v>
      </c>
      <c r="AF147" s="9">
        <v>46754007.09</v>
      </c>
      <c r="AG147" s="10">
        <v>0.898546024850455</v>
      </c>
      <c r="AH147" s="10">
        <v>0.757602001697528</v>
      </c>
      <c r="AI147" s="10">
        <v>0.0943799074072461</v>
      </c>
      <c r="AJ147" s="10"/>
      <c r="AK147" s="11"/>
      <c r="AL147" s="11"/>
      <c r="AM147" s="11"/>
      <c r="AN147" s="11"/>
      <c r="AO147" s="9">
        <v>623124035.16</v>
      </c>
      <c r="AP147" s="9">
        <v>49277161.1099999</v>
      </c>
      <c r="AQ147" s="9">
        <v>50591330.6499999</v>
      </c>
      <c r="AR147" s="9">
        <v>54814109.0799999</v>
      </c>
      <c r="AS147" s="9">
        <v>47271385.3899999</v>
      </c>
      <c r="AT147" s="10">
        <v>0.950762460943598</v>
      </c>
      <c r="AU147" s="10">
        <v>0.756933400578968</v>
      </c>
      <c r="AV147" s="10">
        <v>0.103062100519276</v>
      </c>
      <c r="AW147" s="10"/>
      <c r="AX147" s="11"/>
      <c r="AY147" s="11"/>
      <c r="AZ147" s="11"/>
      <c r="BA147" s="11"/>
      <c r="BB147" s="9">
        <f t="shared" ref="BB147:BF147" si="198">SUM(B147,O147,)</f>
        <v>1209359233.2</v>
      </c>
      <c r="BC147" s="9">
        <f t="shared" si="198"/>
        <v>94530453.7599998</v>
      </c>
      <c r="BD147" s="9">
        <f t="shared" si="198"/>
        <v>92535725.4499999</v>
      </c>
      <c r="BE147" s="9">
        <f t="shared" si="198"/>
        <v>103412830.79</v>
      </c>
      <c r="BF147" s="9">
        <f t="shared" si="198"/>
        <v>91783633.6799998</v>
      </c>
      <c r="BG147" s="10">
        <f t="shared" ref="BG147:BI147" si="199">AVERAGE(G147,T147,AT147,AG147)</f>
        <v>0.933386361163228</v>
      </c>
      <c r="BH147" s="10">
        <f t="shared" si="199"/>
        <v>0.784423977947378</v>
      </c>
      <c r="BI147" s="10">
        <f t="shared" si="199"/>
        <v>0.0946656938779772</v>
      </c>
      <c r="BJ147" s="11"/>
      <c r="BK147" s="11"/>
      <c r="BL147" s="11"/>
      <c r="BM147" s="11"/>
      <c r="BN147" s="11"/>
    </row>
    <row r="148" s="1" customFormat="1" spans="1:66">
      <c r="A148" s="9" t="s">
        <v>159</v>
      </c>
      <c r="B148" s="9">
        <v>435637423.76</v>
      </c>
      <c r="C148" s="9">
        <v>31293699.7099999</v>
      </c>
      <c r="D148" s="9">
        <v>31130982.5499999</v>
      </c>
      <c r="E148" s="9">
        <v>36524565.1599999</v>
      </c>
      <c r="F148" s="9">
        <v>29775231.3299999</v>
      </c>
      <c r="G148" s="10">
        <v>0.494013958094208</v>
      </c>
      <c r="H148" s="10">
        <v>0.415807201270453</v>
      </c>
      <c r="I148" s="10">
        <v>0.0426410190441475</v>
      </c>
      <c r="J148" s="10"/>
      <c r="K148" s="11"/>
      <c r="L148" s="11"/>
      <c r="M148" s="11"/>
      <c r="N148" s="11"/>
      <c r="O148" s="9">
        <v>452676512.14</v>
      </c>
      <c r="P148" s="9">
        <v>32493636.54</v>
      </c>
      <c r="Q148" s="9">
        <v>28941209.34</v>
      </c>
      <c r="R148" s="9">
        <v>38605175.55</v>
      </c>
      <c r="S148" s="9">
        <v>32104620</v>
      </c>
      <c r="T148" s="10">
        <v>0.494013958094208</v>
      </c>
      <c r="U148" s="10">
        <v>0.415807201270453</v>
      </c>
      <c r="V148" s="10">
        <v>0.0426410190441475</v>
      </c>
      <c r="W148" s="10"/>
      <c r="X148" s="11"/>
      <c r="Y148" s="11"/>
      <c r="Z148" s="11"/>
      <c r="AA148" s="11"/>
      <c r="AB148" s="9">
        <v>432357089.16</v>
      </c>
      <c r="AC148" s="9">
        <v>32685424.11</v>
      </c>
      <c r="AD148" s="9">
        <v>34208919.91</v>
      </c>
      <c r="AE148" s="9">
        <v>38249122.83</v>
      </c>
      <c r="AF148" s="9">
        <v>31802951.97</v>
      </c>
      <c r="AG148" s="10">
        <v>0.486500524866526</v>
      </c>
      <c r="AH148" s="10">
        <v>0.415734396202361</v>
      </c>
      <c r="AI148" s="10">
        <v>0.0442332550904992</v>
      </c>
      <c r="AJ148" s="10"/>
      <c r="AK148" s="11"/>
      <c r="AL148" s="11"/>
      <c r="AM148" s="11"/>
      <c r="AN148" s="11"/>
      <c r="AO148" s="9">
        <v>455330573.94</v>
      </c>
      <c r="AP148" s="9">
        <v>33383861.7899999</v>
      </c>
      <c r="AQ148" s="9">
        <v>38793172.93</v>
      </c>
      <c r="AR148" s="9">
        <v>39323450.65</v>
      </c>
      <c r="AS148" s="9">
        <v>31457345.4199999</v>
      </c>
      <c r="AT148" s="10">
        <v>0.471145992903417</v>
      </c>
      <c r="AU148" s="10">
        <v>0.399982006919832</v>
      </c>
      <c r="AV148" s="10">
        <v>0.0431812104222785</v>
      </c>
      <c r="AW148" s="10"/>
      <c r="AX148" s="11"/>
      <c r="AY148" s="11"/>
      <c r="AZ148" s="11"/>
      <c r="BA148" s="11"/>
      <c r="BB148" s="9">
        <f t="shared" ref="BB148:BF148" si="200">SUM(B148,O148,)</f>
        <v>888313935.9</v>
      </c>
      <c r="BC148" s="9">
        <f t="shared" si="200"/>
        <v>63787336.2499999</v>
      </c>
      <c r="BD148" s="9">
        <f t="shared" si="200"/>
        <v>60072191.89</v>
      </c>
      <c r="BE148" s="9">
        <f t="shared" si="200"/>
        <v>75129740.7099999</v>
      </c>
      <c r="BF148" s="9">
        <f t="shared" si="200"/>
        <v>61879851.3299999</v>
      </c>
      <c r="BG148" s="10">
        <f t="shared" ref="BG148:BI148" si="201">AVERAGE(G148,T148,AT148,AG148)</f>
        <v>0.48641860848959</v>
      </c>
      <c r="BH148" s="10">
        <f t="shared" si="201"/>
        <v>0.411832701415775</v>
      </c>
      <c r="BI148" s="10">
        <f t="shared" si="201"/>
        <v>0.0431741259002682</v>
      </c>
      <c r="BJ148" s="11"/>
      <c r="BK148" s="11"/>
      <c r="BL148" s="11"/>
      <c r="BM148" s="11"/>
      <c r="BN148" s="11"/>
    </row>
    <row r="149" s="1" customFormat="1" spans="1:66">
      <c r="A149" s="9" t="s">
        <v>161</v>
      </c>
      <c r="B149" s="9">
        <v>437191878.15</v>
      </c>
      <c r="C149" s="9">
        <v>37160452.2799999</v>
      </c>
      <c r="D149" s="9">
        <v>39851936.7</v>
      </c>
      <c r="E149" s="9">
        <v>39387615.3399999</v>
      </c>
      <c r="F149" s="9">
        <v>36253463.7399999</v>
      </c>
      <c r="G149" s="10">
        <v>0.493051412459381</v>
      </c>
      <c r="H149" s="10">
        <v>0.461408425667516</v>
      </c>
      <c r="I149" s="10">
        <v>0.0458137504127499</v>
      </c>
      <c r="J149" s="10"/>
      <c r="K149" s="11"/>
      <c r="L149" s="11"/>
      <c r="M149" s="11"/>
      <c r="N149" s="11"/>
      <c r="O149" s="9">
        <v>435633798.7</v>
      </c>
      <c r="P149" s="9">
        <v>37354310.2799999</v>
      </c>
      <c r="Q149" s="9">
        <v>34384505.1699999</v>
      </c>
      <c r="R149" s="9">
        <v>39916036.2499999</v>
      </c>
      <c r="S149" s="9">
        <v>36835190.8899999</v>
      </c>
      <c r="T149" s="10">
        <v>0.493051412459381</v>
      </c>
      <c r="U149" s="10">
        <v>0.461408425667516</v>
      </c>
      <c r="V149" s="10">
        <v>0.0458137504127499</v>
      </c>
      <c r="W149" s="10"/>
      <c r="X149" s="11"/>
      <c r="Y149" s="11"/>
      <c r="Z149" s="11"/>
      <c r="AA149" s="11"/>
      <c r="AB149" s="9">
        <v>431707803.62</v>
      </c>
      <c r="AC149" s="9">
        <v>37303738.4</v>
      </c>
      <c r="AD149" s="9">
        <v>43936286.3</v>
      </c>
      <c r="AE149" s="9">
        <v>39859820.25</v>
      </c>
      <c r="AF149" s="9">
        <v>36886789.85</v>
      </c>
      <c r="AG149" s="10">
        <v>0.494411437460649</v>
      </c>
      <c r="AH149" s="10">
        <v>0.462706424899144</v>
      </c>
      <c r="AI149" s="10">
        <v>0.0461652765085127</v>
      </c>
      <c r="AJ149" s="10"/>
      <c r="AK149" s="11"/>
      <c r="AL149" s="11"/>
      <c r="AM149" s="11"/>
      <c r="AN149" s="11"/>
      <c r="AO149" s="9">
        <v>441826589.79</v>
      </c>
      <c r="AP149" s="9">
        <v>38087982.8499999</v>
      </c>
      <c r="AQ149" s="9">
        <v>38496429.57</v>
      </c>
      <c r="AR149" s="9">
        <v>41119350.3599999</v>
      </c>
      <c r="AS149" s="9">
        <v>36510110.64</v>
      </c>
      <c r="AT149" s="10">
        <v>0.47928648235043</v>
      </c>
      <c r="AU149" s="10">
        <v>0.443952911711323</v>
      </c>
      <c r="AV149" s="10">
        <v>0.0465333586866557</v>
      </c>
      <c r="AW149" s="10"/>
      <c r="AX149" s="11"/>
      <c r="AY149" s="11"/>
      <c r="AZ149" s="11"/>
      <c r="BA149" s="11"/>
      <c r="BB149" s="9">
        <f t="shared" ref="BB149:BF149" si="202">SUM(B149,O149,)</f>
        <v>872825676.850001</v>
      </c>
      <c r="BC149" s="9">
        <f t="shared" si="202"/>
        <v>74514762.5599998</v>
      </c>
      <c r="BD149" s="9">
        <f t="shared" si="202"/>
        <v>74236441.8699999</v>
      </c>
      <c r="BE149" s="9">
        <f t="shared" si="202"/>
        <v>79303651.5899998</v>
      </c>
      <c r="BF149" s="9">
        <f t="shared" si="202"/>
        <v>73088654.6299998</v>
      </c>
      <c r="BG149" s="10">
        <f t="shared" ref="BG149:BI149" si="203">AVERAGE(G149,T149,AT149,AG149)</f>
        <v>0.48995018618246</v>
      </c>
      <c r="BH149" s="10">
        <f t="shared" si="203"/>
        <v>0.457369046986375</v>
      </c>
      <c r="BI149" s="10">
        <f t="shared" si="203"/>
        <v>0.0460815340051671</v>
      </c>
      <c r="BJ149" s="11"/>
      <c r="BK149" s="11"/>
      <c r="BL149" s="11"/>
      <c r="BM149" s="11"/>
      <c r="BN149" s="11"/>
    </row>
    <row r="150" s="1" customFormat="1" spans="1:66">
      <c r="A150" s="9" t="s">
        <v>158</v>
      </c>
      <c r="B150" s="9">
        <v>219409101.83</v>
      </c>
      <c r="C150" s="9">
        <v>18138315.22</v>
      </c>
      <c r="D150" s="9">
        <v>18290309.13</v>
      </c>
      <c r="E150" s="9">
        <v>19324727.17</v>
      </c>
      <c r="F150" s="9">
        <v>17741900.97</v>
      </c>
      <c r="G150" s="10">
        <v>0.492125501647614</v>
      </c>
      <c r="H150" s="10">
        <v>0.45497762654536</v>
      </c>
      <c r="I150" s="10">
        <v>0.0454088274323554</v>
      </c>
      <c r="J150" s="10"/>
      <c r="K150" s="11"/>
      <c r="L150" s="11"/>
      <c r="M150" s="11"/>
      <c r="N150" s="11"/>
      <c r="O150" s="9">
        <v>222363900.28</v>
      </c>
      <c r="P150" s="9">
        <v>18670189.95</v>
      </c>
      <c r="Q150" s="9">
        <v>17302802.1</v>
      </c>
      <c r="R150" s="9">
        <v>20194567.95</v>
      </c>
      <c r="S150" s="9">
        <v>18376153.19</v>
      </c>
      <c r="T150" s="10">
        <v>0.492125501647614</v>
      </c>
      <c r="U150" s="10">
        <v>0.45497762654536</v>
      </c>
      <c r="V150" s="10">
        <v>0.0454088274323554</v>
      </c>
      <c r="W150" s="10"/>
      <c r="X150" s="11"/>
      <c r="Y150" s="11"/>
      <c r="Z150" s="11"/>
      <c r="AA150" s="11"/>
      <c r="AB150" s="9">
        <v>221112130.89</v>
      </c>
      <c r="AC150" s="9">
        <v>19011678.22</v>
      </c>
      <c r="AD150" s="9">
        <v>20125652.66</v>
      </c>
      <c r="AE150" s="9">
        <v>20776216.64</v>
      </c>
      <c r="AF150" s="9">
        <v>18652032.75</v>
      </c>
      <c r="AG150" s="10">
        <v>0.490541459153731</v>
      </c>
      <c r="AH150" s="10">
        <v>0.448879434432005</v>
      </c>
      <c r="AI150" s="10">
        <v>0.0469811777317994</v>
      </c>
      <c r="AJ150" s="10"/>
      <c r="AK150" s="11"/>
      <c r="AL150" s="11"/>
      <c r="AM150" s="11"/>
      <c r="AN150" s="11"/>
      <c r="AO150" s="9">
        <v>227000347.5</v>
      </c>
      <c r="AP150" s="9">
        <v>19337230.51</v>
      </c>
      <c r="AQ150" s="9">
        <v>19847914.02</v>
      </c>
      <c r="AR150" s="9">
        <v>21464668.1</v>
      </c>
      <c r="AS150" s="9">
        <v>18970523.62</v>
      </c>
      <c r="AT150" s="10">
        <v>0.490518112461597</v>
      </c>
      <c r="AU150" s="10">
        <v>0.441901163615011</v>
      </c>
      <c r="AV150" s="10">
        <v>0.0472789322492115</v>
      </c>
      <c r="AW150" s="10"/>
      <c r="AX150" s="11"/>
      <c r="AY150" s="11"/>
      <c r="AZ150" s="11"/>
      <c r="BA150" s="11"/>
      <c r="BB150" s="9">
        <f t="shared" ref="BB150:BF150" si="204">SUM(B150,O150,)</f>
        <v>441773002.11</v>
      </c>
      <c r="BC150" s="9">
        <f t="shared" si="204"/>
        <v>36808505.17</v>
      </c>
      <c r="BD150" s="9">
        <f t="shared" si="204"/>
        <v>35593111.23</v>
      </c>
      <c r="BE150" s="9">
        <f t="shared" si="204"/>
        <v>39519295.12</v>
      </c>
      <c r="BF150" s="9">
        <f t="shared" si="204"/>
        <v>36118054.16</v>
      </c>
      <c r="BG150" s="10">
        <f t="shared" ref="BG150:BI150" si="205">AVERAGE(G150,T150,AT150,AG150)</f>
        <v>0.491327643727639</v>
      </c>
      <c r="BH150" s="10">
        <f t="shared" si="205"/>
        <v>0.450183962784434</v>
      </c>
      <c r="BI150" s="10">
        <f t="shared" si="205"/>
        <v>0.0462694412114304</v>
      </c>
      <c r="BJ150" s="11"/>
      <c r="BK150" s="11"/>
      <c r="BL150" s="11"/>
      <c r="BM150" s="11"/>
      <c r="BN150" s="11"/>
    </row>
    <row r="151" s="1" customFormat="1" spans="1:66">
      <c r="A151" s="12" t="s">
        <v>162</v>
      </c>
      <c r="B151" s="12">
        <v>1693821575.51</v>
      </c>
      <c r="C151" s="12">
        <v>133442639.98</v>
      </c>
      <c r="D151" s="12">
        <v>138353527.71</v>
      </c>
      <c r="E151" s="12">
        <v>146037472.55</v>
      </c>
      <c r="F151" s="12">
        <v>128867273.36</v>
      </c>
      <c r="G151" s="13">
        <v>0.943944773830435</v>
      </c>
      <c r="H151" s="13">
        <v>0.809372643088323</v>
      </c>
      <c r="I151" s="13">
        <v>0.0914248929338254</v>
      </c>
      <c r="J151" s="13"/>
      <c r="K151" s="11"/>
      <c r="L151" s="11"/>
      <c r="M151" s="11"/>
      <c r="N151" s="11"/>
      <c r="O151" s="12">
        <v>1718450272.55</v>
      </c>
      <c r="P151" s="12">
        <v>136198417.76</v>
      </c>
      <c r="Q151" s="12">
        <v>124083942.73</v>
      </c>
      <c r="R151" s="12">
        <v>151328045.66</v>
      </c>
      <c r="S151" s="12">
        <v>134002920.44</v>
      </c>
      <c r="T151" s="13">
        <v>0.943944773830435</v>
      </c>
      <c r="U151" s="13">
        <v>0.809372643088323</v>
      </c>
      <c r="V151" s="13">
        <v>0.0914248929338254</v>
      </c>
      <c r="W151" s="13"/>
      <c r="X151" s="11"/>
      <c r="Y151" s="11"/>
      <c r="Z151" s="11"/>
      <c r="AA151" s="11"/>
      <c r="AB151" s="12">
        <v>1688467152.9</v>
      </c>
      <c r="AC151" s="12">
        <v>136992140.25</v>
      </c>
      <c r="AD151" s="12">
        <v>150365286.75</v>
      </c>
      <c r="AE151" s="12">
        <v>151776894.18</v>
      </c>
      <c r="AF151" s="12">
        <v>134095781.66</v>
      </c>
      <c r="AG151" s="13">
        <v>0.899769287081646</v>
      </c>
      <c r="AH151" s="13">
        <v>0.755131127822894</v>
      </c>
      <c r="AI151" s="13">
        <v>0.0955986004416525</v>
      </c>
      <c r="AJ151" s="13"/>
      <c r="AK151" s="11"/>
      <c r="AL151" s="11"/>
      <c r="AM151" s="11"/>
      <c r="AN151" s="11"/>
      <c r="AO151" s="12">
        <v>1747281546.39</v>
      </c>
      <c r="AP151" s="12">
        <v>140086236.26</v>
      </c>
      <c r="AQ151" s="12">
        <v>147728847.17</v>
      </c>
      <c r="AR151" s="12">
        <v>156721578.19</v>
      </c>
      <c r="AS151" s="12">
        <v>134209365.07</v>
      </c>
      <c r="AT151" s="13">
        <v>0.950012001949979</v>
      </c>
      <c r="AU151" s="13">
        <v>0.751869780616546</v>
      </c>
      <c r="AV151" s="13">
        <v>0.104140021517373</v>
      </c>
      <c r="AW151" s="13"/>
      <c r="AX151" s="11"/>
      <c r="AY151" s="11"/>
      <c r="AZ151" s="11"/>
      <c r="BA151" s="11"/>
      <c r="BB151" s="12">
        <v>1693821575.51</v>
      </c>
      <c r="BC151" s="12">
        <v>133442639.98</v>
      </c>
      <c r="BD151" s="12">
        <v>138353527.71</v>
      </c>
      <c r="BE151" s="12">
        <v>146037472.55</v>
      </c>
      <c r="BF151" s="12">
        <v>128867273.36</v>
      </c>
      <c r="BG151" s="13">
        <v>0.943944773830435</v>
      </c>
      <c r="BH151" s="13">
        <v>0.809372643088323</v>
      </c>
      <c r="BI151" s="13">
        <v>0.0914248929338254</v>
      </c>
      <c r="BJ151" s="11"/>
      <c r="BK151" s="11"/>
      <c r="BL151" s="11"/>
      <c r="BM151" s="11"/>
      <c r="BN151" s="11"/>
    </row>
    <row r="152" s="1" customFormat="1" spans="1:66">
      <c r="A152" s="9" t="s">
        <v>163</v>
      </c>
      <c r="B152" s="9">
        <v>383213845.16</v>
      </c>
      <c r="C152" s="9">
        <v>30146230.59</v>
      </c>
      <c r="D152" s="9">
        <v>28415950.56</v>
      </c>
      <c r="E152" s="9">
        <v>32685555.87</v>
      </c>
      <c r="F152" s="9">
        <v>28729254.19</v>
      </c>
      <c r="G152" s="10">
        <v>0.98239937737253</v>
      </c>
      <c r="H152" s="10">
        <v>0.934373172997451</v>
      </c>
      <c r="I152" s="10">
        <v>0.0698708595827624</v>
      </c>
      <c r="J152" s="10"/>
      <c r="K152" s="11"/>
      <c r="L152" s="11"/>
      <c r="M152" s="11"/>
      <c r="N152" s="11"/>
      <c r="O152" s="9">
        <v>396361618.45</v>
      </c>
      <c r="P152" s="9">
        <v>31178661.0699999</v>
      </c>
      <c r="Q152" s="9">
        <v>28358514.59</v>
      </c>
      <c r="R152" s="9">
        <v>34551626.11</v>
      </c>
      <c r="S152" s="9">
        <v>30104783.93</v>
      </c>
      <c r="T152" s="10">
        <v>0.98239937737253</v>
      </c>
      <c r="U152" s="10">
        <v>0.934373172997451</v>
      </c>
      <c r="V152" s="10">
        <v>0.0698708595827624</v>
      </c>
      <c r="W152" s="10"/>
      <c r="X152" s="11"/>
      <c r="Y152" s="11"/>
      <c r="Z152" s="11"/>
      <c r="AA152" s="11"/>
      <c r="AB152" s="9">
        <v>394339822.15</v>
      </c>
      <c r="AC152" s="9">
        <v>31205128.49</v>
      </c>
      <c r="AD152" s="9">
        <v>31533878.53</v>
      </c>
      <c r="AE152" s="9">
        <v>34525448.74</v>
      </c>
      <c r="AF152" s="9">
        <v>30135390.62</v>
      </c>
      <c r="AG152" s="10">
        <v>0.929911591669873</v>
      </c>
      <c r="AH152" s="10">
        <v>0.882580467603319</v>
      </c>
      <c r="AI152" s="10">
        <v>0.0683774239664633</v>
      </c>
      <c r="AJ152" s="10"/>
      <c r="AK152" s="11"/>
      <c r="AL152" s="11"/>
      <c r="AM152" s="11"/>
      <c r="AN152" s="11"/>
      <c r="AO152" s="9">
        <v>398735155.84</v>
      </c>
      <c r="AP152" s="9">
        <v>32054208.91</v>
      </c>
      <c r="AQ152" s="9">
        <v>31194908.13</v>
      </c>
      <c r="AR152" s="9">
        <v>35362592.04</v>
      </c>
      <c r="AS152" s="9">
        <v>30691283.78</v>
      </c>
      <c r="AT152" s="10">
        <v>1.03097269371101</v>
      </c>
      <c r="AU152" s="10">
        <v>0.932682244807637</v>
      </c>
      <c r="AV152" s="10">
        <v>0.0722494752053696</v>
      </c>
      <c r="AW152" s="10"/>
      <c r="AX152" s="11"/>
      <c r="AY152" s="11"/>
      <c r="AZ152" s="11"/>
      <c r="BA152" s="11"/>
      <c r="BB152" s="9">
        <f t="shared" ref="BB152:BF152" si="206">SUM(B152,O152,)</f>
        <v>779575463.61</v>
      </c>
      <c r="BC152" s="9">
        <f t="shared" si="206"/>
        <v>61324891.6599999</v>
      </c>
      <c r="BD152" s="9">
        <f t="shared" si="206"/>
        <v>56774465.1499999</v>
      </c>
      <c r="BE152" s="9">
        <f t="shared" si="206"/>
        <v>67237181.9799999</v>
      </c>
      <c r="BF152" s="9">
        <f t="shared" si="206"/>
        <v>58834038.1199999</v>
      </c>
      <c r="BG152" s="10">
        <f t="shared" ref="BG152:BI152" si="207">AVERAGE(G152,T152,AT152,AG152)</f>
        <v>0.981420760031485</v>
      </c>
      <c r="BH152" s="10">
        <f t="shared" si="207"/>
        <v>0.921002264601464</v>
      </c>
      <c r="BI152" s="10">
        <f t="shared" si="207"/>
        <v>0.0700921545843395</v>
      </c>
      <c r="BJ152" s="11"/>
      <c r="BK152" s="11"/>
      <c r="BL152" s="11"/>
      <c r="BM152" s="11"/>
      <c r="BN152" s="11"/>
    </row>
    <row r="153" s="1" customFormat="1" spans="1:66">
      <c r="A153" s="9" t="s">
        <v>164</v>
      </c>
      <c r="B153" s="9">
        <v>472565850.51</v>
      </c>
      <c r="C153" s="9">
        <v>36710315.5099999</v>
      </c>
      <c r="D153" s="9">
        <v>35801685.7999999</v>
      </c>
      <c r="E153" s="9">
        <v>37914732.0799999</v>
      </c>
      <c r="F153" s="9">
        <v>35103367.2499999</v>
      </c>
      <c r="G153" s="10">
        <v>0.483371723061645</v>
      </c>
      <c r="H153" s="10">
        <v>0.457360926783332</v>
      </c>
      <c r="I153" s="10">
        <v>0.0416664027014702</v>
      </c>
      <c r="J153" s="10"/>
      <c r="K153" s="11"/>
      <c r="L153" s="11"/>
      <c r="M153" s="11"/>
      <c r="N153" s="11"/>
      <c r="O153" s="9">
        <v>480762559.31</v>
      </c>
      <c r="P153" s="9">
        <v>37907440.2799999</v>
      </c>
      <c r="Q153" s="9">
        <v>34697949.2299999</v>
      </c>
      <c r="R153" s="9">
        <v>40063292.7999999</v>
      </c>
      <c r="S153" s="9">
        <v>36646769.4499999</v>
      </c>
      <c r="T153" s="10">
        <v>0.483371723061645</v>
      </c>
      <c r="U153" s="10">
        <v>0.457360926783332</v>
      </c>
      <c r="V153" s="10">
        <v>0.0416664027014702</v>
      </c>
      <c r="W153" s="10"/>
      <c r="X153" s="11"/>
      <c r="Y153" s="11"/>
      <c r="Z153" s="11"/>
      <c r="AA153" s="11"/>
      <c r="AB153" s="9">
        <v>479389491.01</v>
      </c>
      <c r="AC153" s="9">
        <v>38968260.64</v>
      </c>
      <c r="AD153" s="9">
        <v>39855162.06</v>
      </c>
      <c r="AE153" s="9">
        <v>41695165.78</v>
      </c>
      <c r="AF153" s="9">
        <v>37366572.35</v>
      </c>
      <c r="AG153" s="10">
        <v>0.479448809573555</v>
      </c>
      <c r="AH153" s="10">
        <v>0.448092382545745</v>
      </c>
      <c r="AI153" s="10">
        <v>0.0434877761839905</v>
      </c>
      <c r="AJ153" s="10"/>
      <c r="AK153" s="11"/>
      <c r="AL153" s="11"/>
      <c r="AM153" s="11"/>
      <c r="AN153" s="11"/>
      <c r="AO153" s="9">
        <v>488630597.63</v>
      </c>
      <c r="AP153" s="9">
        <v>39858058.9799999</v>
      </c>
      <c r="AQ153" s="9">
        <v>38694664.46</v>
      </c>
      <c r="AR153" s="9">
        <v>43506682.7299999</v>
      </c>
      <c r="AS153" s="9">
        <v>38104369.0799999</v>
      </c>
      <c r="AT153" s="10">
        <v>0.478000811568873</v>
      </c>
      <c r="AU153" s="10">
        <v>0.437913978830259</v>
      </c>
      <c r="AV153" s="10">
        <v>0.044518991382263</v>
      </c>
      <c r="AW153" s="10"/>
      <c r="AX153" s="11"/>
      <c r="AY153" s="11"/>
      <c r="AZ153" s="11"/>
      <c r="BA153" s="11"/>
      <c r="BB153" s="9">
        <f t="shared" ref="BB153:BF153" si="208">SUM(B153,O153,)</f>
        <v>953328409.82</v>
      </c>
      <c r="BC153" s="9">
        <f t="shared" si="208"/>
        <v>74617755.7899998</v>
      </c>
      <c r="BD153" s="9">
        <f t="shared" si="208"/>
        <v>70499635.0299999</v>
      </c>
      <c r="BE153" s="9">
        <f t="shared" si="208"/>
        <v>77978024.8799998</v>
      </c>
      <c r="BF153" s="9">
        <f t="shared" si="208"/>
        <v>71750136.6999999</v>
      </c>
      <c r="BG153" s="10">
        <f t="shared" ref="BG153:BI153" si="209">AVERAGE(G153,T153,AT153,AG153)</f>
        <v>0.481048266816429</v>
      </c>
      <c r="BH153" s="10">
        <f t="shared" si="209"/>
        <v>0.450182053735667</v>
      </c>
      <c r="BI153" s="10">
        <f t="shared" si="209"/>
        <v>0.0428348932422985</v>
      </c>
      <c r="BJ153" s="11"/>
      <c r="BK153" s="11"/>
      <c r="BL153" s="11"/>
      <c r="BM153" s="11"/>
      <c r="BN153" s="11"/>
    </row>
    <row r="154" s="1" customFormat="1" spans="1:66">
      <c r="A154" s="9" t="s">
        <v>166</v>
      </c>
      <c r="B154" s="9">
        <v>423663798.77</v>
      </c>
      <c r="C154" s="9">
        <v>29716839.61</v>
      </c>
      <c r="D154" s="9">
        <v>29269207.09</v>
      </c>
      <c r="E154" s="9">
        <v>32068028.91</v>
      </c>
      <c r="F154" s="9">
        <v>28868209.55</v>
      </c>
      <c r="G154" s="10">
        <v>0.994904229076283</v>
      </c>
      <c r="H154" s="10">
        <v>0.943570502571058</v>
      </c>
      <c r="I154" s="10">
        <v>0.0819717524616077</v>
      </c>
      <c r="J154" s="10"/>
      <c r="K154" s="11"/>
      <c r="L154" s="11"/>
      <c r="M154" s="11"/>
      <c r="N154" s="11"/>
      <c r="O154" s="9">
        <v>423107888.779999</v>
      </c>
      <c r="P154" s="9">
        <v>30591313.97</v>
      </c>
      <c r="Q154" s="9">
        <v>28654652.87</v>
      </c>
      <c r="R154" s="9">
        <v>33616766.86</v>
      </c>
      <c r="S154" s="9">
        <v>30009706.59</v>
      </c>
      <c r="T154" s="10">
        <v>0.994904229076283</v>
      </c>
      <c r="U154" s="10">
        <v>0.943570502571058</v>
      </c>
      <c r="V154" s="10">
        <v>0.0819717524616077</v>
      </c>
      <c r="W154" s="10"/>
      <c r="X154" s="11"/>
      <c r="Y154" s="11"/>
      <c r="Z154" s="11"/>
      <c r="AA154" s="11"/>
      <c r="AB154" s="9">
        <v>432467500.76</v>
      </c>
      <c r="AC154" s="9">
        <v>32033233.05</v>
      </c>
      <c r="AD154" s="9">
        <v>31956439.44</v>
      </c>
      <c r="AE154" s="9">
        <v>35437619.06</v>
      </c>
      <c r="AF154" s="9">
        <v>31121898.18</v>
      </c>
      <c r="AG154" s="10">
        <v>0.988340932962206</v>
      </c>
      <c r="AH154" s="10">
        <v>0.938898612983025</v>
      </c>
      <c r="AI154" s="10">
        <v>0.0860940000101467</v>
      </c>
      <c r="AJ154" s="10"/>
      <c r="AK154" s="11"/>
      <c r="AL154" s="11"/>
      <c r="AM154" s="11"/>
      <c r="AN154" s="11"/>
      <c r="AO154" s="9">
        <v>435051712.28</v>
      </c>
      <c r="AP154" s="9">
        <v>33162774.73</v>
      </c>
      <c r="AQ154" s="9">
        <v>33459383.94</v>
      </c>
      <c r="AR154" s="9">
        <v>37245938.7100001</v>
      </c>
      <c r="AS154" s="9">
        <v>31894857.42</v>
      </c>
      <c r="AT154" s="10">
        <v>0.980813466429764</v>
      </c>
      <c r="AU154" s="10">
        <v>0.927931601438376</v>
      </c>
      <c r="AV154" s="10">
        <v>0.0915241277492773</v>
      </c>
      <c r="AW154" s="10"/>
      <c r="AX154" s="11"/>
      <c r="AY154" s="11"/>
      <c r="AZ154" s="11"/>
      <c r="BA154" s="11"/>
      <c r="BB154" s="9">
        <f t="shared" ref="BB154:BF154" si="210">SUM(B154,O154,)</f>
        <v>846771687.549999</v>
      </c>
      <c r="BC154" s="9">
        <f t="shared" si="210"/>
        <v>60308153.58</v>
      </c>
      <c r="BD154" s="9">
        <f t="shared" si="210"/>
        <v>57923859.96</v>
      </c>
      <c r="BE154" s="9">
        <f t="shared" si="210"/>
        <v>65684795.77</v>
      </c>
      <c r="BF154" s="9">
        <f t="shared" si="210"/>
        <v>58877916.14</v>
      </c>
      <c r="BG154" s="10">
        <f t="shared" ref="BG154:BI154" si="211">AVERAGE(G154,T154,AT154,AG154)</f>
        <v>0.989740714386134</v>
      </c>
      <c r="BH154" s="10">
        <f t="shared" si="211"/>
        <v>0.938492804890879</v>
      </c>
      <c r="BI154" s="10">
        <f t="shared" si="211"/>
        <v>0.0853904081706598</v>
      </c>
      <c r="BJ154" s="11"/>
      <c r="BK154" s="11"/>
      <c r="BL154" s="11"/>
      <c r="BM154" s="11"/>
      <c r="BN154" s="11"/>
    </row>
    <row r="155" s="1" customFormat="1" spans="1:66">
      <c r="A155" s="9" t="s">
        <v>165</v>
      </c>
      <c r="B155" s="9">
        <v>500284470.14</v>
      </c>
      <c r="C155" s="9">
        <v>37727584.0999999</v>
      </c>
      <c r="D155" s="9">
        <v>37946206.5499999</v>
      </c>
      <c r="E155" s="9">
        <v>39820119.9399999</v>
      </c>
      <c r="F155" s="9">
        <v>36451569.3399999</v>
      </c>
      <c r="G155" s="10">
        <v>0.997439821594633</v>
      </c>
      <c r="H155" s="10">
        <v>0.963623996993828</v>
      </c>
      <c r="I155" s="10">
        <v>0.0688754958515626</v>
      </c>
      <c r="J155" s="10"/>
      <c r="K155" s="11"/>
      <c r="L155" s="11"/>
      <c r="M155" s="11"/>
      <c r="N155" s="11"/>
      <c r="O155" s="9">
        <v>501278690.16</v>
      </c>
      <c r="P155" s="9">
        <v>37919411.1099999</v>
      </c>
      <c r="Q155" s="9">
        <v>35067601.4999999</v>
      </c>
      <c r="R155" s="9">
        <v>40665510.3699999</v>
      </c>
      <c r="S155" s="9">
        <v>37726630.9299999</v>
      </c>
      <c r="T155" s="10">
        <v>0.997439821594633</v>
      </c>
      <c r="U155" s="10">
        <v>0.963623996993828</v>
      </c>
      <c r="V155" s="10">
        <v>0.0688754958515626</v>
      </c>
      <c r="W155" s="10"/>
      <c r="X155" s="11"/>
      <c r="Y155" s="11"/>
      <c r="Z155" s="11"/>
      <c r="AA155" s="11"/>
      <c r="AB155" s="9">
        <v>501507295.37</v>
      </c>
      <c r="AC155" s="9">
        <v>38343395.46</v>
      </c>
      <c r="AD155" s="9">
        <v>39550339.41</v>
      </c>
      <c r="AE155" s="9">
        <v>40616303.08</v>
      </c>
      <c r="AF155" s="9">
        <v>37676397.47</v>
      </c>
      <c r="AG155" s="10">
        <v>0.991240708169725</v>
      </c>
      <c r="AH155" s="10">
        <v>0.963566915434501</v>
      </c>
      <c r="AI155" s="10">
        <v>0.0700645514299647</v>
      </c>
      <c r="AJ155" s="10"/>
      <c r="AK155" s="11"/>
      <c r="AL155" s="11"/>
      <c r="AM155" s="11"/>
      <c r="AN155" s="11"/>
      <c r="AO155" s="9">
        <v>512793410.98</v>
      </c>
      <c r="AP155" s="9">
        <v>39192443.9499999</v>
      </c>
      <c r="AQ155" s="9">
        <v>39591467.4999999</v>
      </c>
      <c r="AR155" s="9">
        <v>41476810.1199999</v>
      </c>
      <c r="AS155" s="9">
        <v>37939279.21</v>
      </c>
      <c r="AT155" s="10">
        <v>0.983901914456773</v>
      </c>
      <c r="AU155" s="10">
        <v>0.957076253073698</v>
      </c>
      <c r="AV155" s="10">
        <v>0.07141514539664</v>
      </c>
      <c r="AW155" s="10"/>
      <c r="AX155" s="11"/>
      <c r="AY155" s="11"/>
      <c r="AZ155" s="11"/>
      <c r="BA155" s="11"/>
      <c r="BB155" s="9">
        <f t="shared" ref="BB155:BF155" si="212">SUM(B155,O155,)</f>
        <v>1001563160.3</v>
      </c>
      <c r="BC155" s="9">
        <f t="shared" si="212"/>
        <v>75646995.2099998</v>
      </c>
      <c r="BD155" s="9">
        <f t="shared" si="212"/>
        <v>73013808.0499999</v>
      </c>
      <c r="BE155" s="9">
        <f t="shared" si="212"/>
        <v>80485630.3099998</v>
      </c>
      <c r="BF155" s="9">
        <f t="shared" si="212"/>
        <v>74178200.2699999</v>
      </c>
      <c r="BG155" s="10">
        <f t="shared" ref="BG155:BI155" si="213">AVERAGE(G155,T155,AT155,AG155)</f>
        <v>0.992505566453941</v>
      </c>
      <c r="BH155" s="10">
        <f t="shared" si="213"/>
        <v>0.961972790623964</v>
      </c>
      <c r="BI155" s="10">
        <f t="shared" si="213"/>
        <v>0.0698076721324325</v>
      </c>
      <c r="BJ155" s="11"/>
      <c r="BK155" s="11"/>
      <c r="BL155" s="11"/>
      <c r="BM155" s="11"/>
      <c r="BN155" s="11"/>
    </row>
    <row r="156" s="1" customFormat="1" spans="1:66">
      <c r="A156" s="12" t="s">
        <v>167</v>
      </c>
      <c r="B156" s="12">
        <v>1779727964.58</v>
      </c>
      <c r="C156" s="12">
        <v>134300969.81</v>
      </c>
      <c r="D156" s="12">
        <v>131433050</v>
      </c>
      <c r="E156" s="12">
        <v>142488436.8</v>
      </c>
      <c r="F156" s="12">
        <v>129152400.33</v>
      </c>
      <c r="G156" s="13">
        <v>0.989119133127463</v>
      </c>
      <c r="H156" s="13">
        <v>0.95096828224296</v>
      </c>
      <c r="I156" s="13">
        <v>0.0690180612502001</v>
      </c>
      <c r="J156" s="13"/>
      <c r="K156" s="11"/>
      <c r="L156" s="11"/>
      <c r="M156" s="11"/>
      <c r="N156" s="11"/>
      <c r="O156" s="12">
        <v>1801510756.7</v>
      </c>
      <c r="P156" s="12">
        <v>137596826.43</v>
      </c>
      <c r="Q156" s="12">
        <v>126778718.19</v>
      </c>
      <c r="R156" s="12">
        <v>148897196.14</v>
      </c>
      <c r="S156" s="12">
        <v>134487890.9</v>
      </c>
      <c r="T156" s="13">
        <v>0.989119133127463</v>
      </c>
      <c r="U156" s="13">
        <v>0.95096828224296</v>
      </c>
      <c r="V156" s="13">
        <v>0.0690180612502001</v>
      </c>
      <c r="W156" s="13"/>
      <c r="X156" s="11"/>
      <c r="Y156" s="11"/>
      <c r="Z156" s="11"/>
      <c r="AA156" s="11"/>
      <c r="AB156" s="12">
        <v>1807704109.29</v>
      </c>
      <c r="AC156" s="12">
        <v>140550017.64</v>
      </c>
      <c r="AD156" s="12">
        <v>142895819.44</v>
      </c>
      <c r="AE156" s="12">
        <v>152274536.66</v>
      </c>
      <c r="AF156" s="12">
        <v>136300258.62</v>
      </c>
      <c r="AG156" s="13">
        <v>0.952774500598689</v>
      </c>
      <c r="AH156" s="13">
        <v>0.914888572394265</v>
      </c>
      <c r="AI156" s="13">
        <v>0.0691331632511355</v>
      </c>
      <c r="AJ156" s="13"/>
      <c r="AK156" s="11"/>
      <c r="AL156" s="11"/>
      <c r="AM156" s="11"/>
      <c r="AN156" s="11"/>
      <c r="AO156" s="12">
        <v>1835210876.73</v>
      </c>
      <c r="AP156" s="12">
        <v>144267486.57</v>
      </c>
      <c r="AQ156" s="12">
        <v>142940424.03</v>
      </c>
      <c r="AR156" s="12">
        <v>157592023.6</v>
      </c>
      <c r="AS156" s="12">
        <v>138629789.49</v>
      </c>
      <c r="AT156" s="13">
        <v>1.01264932571139</v>
      </c>
      <c r="AU156" s="13">
        <v>0.939431256673615</v>
      </c>
      <c r="AV156" s="13">
        <v>0.0727905666900238</v>
      </c>
      <c r="AW156" s="13"/>
      <c r="AX156" s="11"/>
      <c r="AY156" s="11"/>
      <c r="AZ156" s="11"/>
      <c r="BA156" s="11"/>
      <c r="BB156" s="12">
        <v>1779727964.58</v>
      </c>
      <c r="BC156" s="12">
        <v>134300969.81</v>
      </c>
      <c r="BD156" s="12">
        <v>131433050</v>
      </c>
      <c r="BE156" s="12">
        <v>142488436.8</v>
      </c>
      <c r="BF156" s="12">
        <v>129152400.33</v>
      </c>
      <c r="BG156" s="13">
        <v>0.989119133127463</v>
      </c>
      <c r="BH156" s="13">
        <v>0.95096828224296</v>
      </c>
      <c r="BI156" s="13">
        <v>0.0690180612502001</v>
      </c>
      <c r="BJ156" s="11"/>
      <c r="BK156" s="11"/>
      <c r="BL156" s="11"/>
      <c r="BM156" s="11"/>
      <c r="BN156" s="11"/>
    </row>
    <row r="157" s="1" customFormat="1" spans="1:66">
      <c r="A157" s="9" t="s">
        <v>168</v>
      </c>
      <c r="B157" s="9">
        <v>316381100.16</v>
      </c>
      <c r="C157" s="9">
        <v>22441504.23</v>
      </c>
      <c r="D157" s="9">
        <v>22162039.57</v>
      </c>
      <c r="E157" s="9">
        <v>24240100.34</v>
      </c>
      <c r="F157" s="9">
        <v>21908953.32</v>
      </c>
      <c r="G157" s="10">
        <v>0.993489235832661</v>
      </c>
      <c r="H157" s="10">
        <v>0.952293586408596</v>
      </c>
      <c r="I157" s="10">
        <v>0.0681892148958419</v>
      </c>
      <c r="J157" s="10"/>
      <c r="K157" s="11"/>
      <c r="L157" s="11"/>
      <c r="M157" s="11"/>
      <c r="N157" s="11"/>
      <c r="O157" s="9">
        <v>324792737.64</v>
      </c>
      <c r="P157" s="9">
        <v>23719821.11</v>
      </c>
      <c r="Q157" s="9">
        <v>21377660.33</v>
      </c>
      <c r="R157" s="9">
        <v>25869085.37</v>
      </c>
      <c r="S157" s="9">
        <v>23412550.62</v>
      </c>
      <c r="T157" s="10">
        <v>0.993489235832661</v>
      </c>
      <c r="U157" s="10">
        <v>0.952293586408596</v>
      </c>
      <c r="V157" s="10">
        <v>0.0681892148958419</v>
      </c>
      <c r="W157" s="10"/>
      <c r="X157" s="11"/>
      <c r="Y157" s="11"/>
      <c r="Z157" s="11"/>
      <c r="AA157" s="11"/>
      <c r="AB157" s="9">
        <v>332139566.58</v>
      </c>
      <c r="AC157" s="9">
        <v>24621697.26</v>
      </c>
      <c r="AD157" s="9">
        <v>26050677.36</v>
      </c>
      <c r="AE157" s="9">
        <v>26893719.09</v>
      </c>
      <c r="AF157" s="9">
        <v>24500530.28</v>
      </c>
      <c r="AG157" s="10">
        <v>0.997527102572104</v>
      </c>
      <c r="AH157" s="10">
        <v>0.95530260862095</v>
      </c>
      <c r="AI157" s="10">
        <v>0.0701070558051925</v>
      </c>
      <c r="AJ157" s="10"/>
      <c r="AK157" s="11"/>
      <c r="AL157" s="11"/>
      <c r="AM157" s="11"/>
      <c r="AN157" s="11"/>
      <c r="AO157" s="9">
        <v>338031513.71</v>
      </c>
      <c r="AP157" s="9">
        <v>25487723.82</v>
      </c>
      <c r="AQ157" s="9">
        <v>24998891.51</v>
      </c>
      <c r="AR157" s="9">
        <v>27568379.81</v>
      </c>
      <c r="AS157" s="9">
        <v>23564274.94</v>
      </c>
      <c r="AT157" s="10">
        <v>0.962084612566009</v>
      </c>
      <c r="AU157" s="10">
        <v>0.927053985928502</v>
      </c>
      <c r="AV157" s="10">
        <v>0.0718060485632915</v>
      </c>
      <c r="AW157" s="10"/>
      <c r="AX157" s="11"/>
      <c r="AY157" s="11"/>
      <c r="AZ157" s="11"/>
      <c r="BA157" s="11"/>
      <c r="BB157" s="9">
        <f t="shared" ref="BB157:BF157" si="214">SUM(B157,O157,)</f>
        <v>641173837.8</v>
      </c>
      <c r="BC157" s="9">
        <f t="shared" si="214"/>
        <v>46161325.34</v>
      </c>
      <c r="BD157" s="9">
        <f t="shared" si="214"/>
        <v>43539699.9</v>
      </c>
      <c r="BE157" s="9">
        <f t="shared" si="214"/>
        <v>50109185.7099999</v>
      </c>
      <c r="BF157" s="9">
        <f t="shared" si="214"/>
        <v>45321503.94</v>
      </c>
      <c r="BG157" s="10">
        <f t="shared" ref="BG157:BI157" si="215">AVERAGE(G157,T157,AT157,AG157)</f>
        <v>0.986647546700859</v>
      </c>
      <c r="BH157" s="10">
        <f t="shared" si="215"/>
        <v>0.946735941841661</v>
      </c>
      <c r="BI157" s="10">
        <f t="shared" si="215"/>
        <v>0.0695728835400419</v>
      </c>
      <c r="BJ157" s="11"/>
      <c r="BK157" s="11"/>
      <c r="BL157" s="11"/>
      <c r="BM157" s="11"/>
      <c r="BN157" s="11"/>
    </row>
    <row r="158" s="1" customFormat="1" spans="1:66">
      <c r="A158" s="9" t="s">
        <v>170</v>
      </c>
      <c r="B158" s="9">
        <v>188299676.83</v>
      </c>
      <c r="C158" s="9">
        <v>13728801.63</v>
      </c>
      <c r="D158" s="9">
        <v>14256309.05</v>
      </c>
      <c r="E158" s="9">
        <v>17331116.18</v>
      </c>
      <c r="F158" s="9">
        <v>12695505.45</v>
      </c>
      <c r="G158" s="10">
        <v>1.00180400794365</v>
      </c>
      <c r="H158" s="10">
        <v>0.875313430202548</v>
      </c>
      <c r="I158" s="10">
        <v>0.0807317249973679</v>
      </c>
      <c r="J158" s="10"/>
      <c r="K158" s="11"/>
      <c r="L158" s="11"/>
      <c r="M158" s="11"/>
      <c r="N158" s="11"/>
      <c r="O158" s="9">
        <v>191030733.33</v>
      </c>
      <c r="P158" s="9">
        <v>13742479.48</v>
      </c>
      <c r="Q158" s="9">
        <v>11987742.03</v>
      </c>
      <c r="R158" s="9">
        <v>18229496.99</v>
      </c>
      <c r="S158" s="9">
        <v>13790514.96</v>
      </c>
      <c r="T158" s="10">
        <v>1.00180400794365</v>
      </c>
      <c r="U158" s="10">
        <v>0.875313430202548</v>
      </c>
      <c r="V158" s="10">
        <v>0.0807317249973679</v>
      </c>
      <c r="W158" s="10"/>
      <c r="X158" s="11"/>
      <c r="Y158" s="11"/>
      <c r="Z158" s="11"/>
      <c r="AA158" s="11"/>
      <c r="AB158" s="9">
        <v>194386827.63</v>
      </c>
      <c r="AC158" s="9">
        <v>13969535.56</v>
      </c>
      <c r="AD158" s="9">
        <v>13701918.21</v>
      </c>
      <c r="AE158" s="9">
        <v>18278566.75</v>
      </c>
      <c r="AF158" s="9">
        <v>13663315.01</v>
      </c>
      <c r="AG158" s="10">
        <v>0.988692504861837</v>
      </c>
      <c r="AH158" s="10">
        <v>0.870718572667472</v>
      </c>
      <c r="AI158" s="10">
        <v>0.0817609191949198</v>
      </c>
      <c r="AJ158" s="10"/>
      <c r="AK158" s="11"/>
      <c r="AL158" s="11"/>
      <c r="AM158" s="11"/>
      <c r="AN158" s="11"/>
      <c r="AO158" s="9">
        <v>189910801.74</v>
      </c>
      <c r="AP158" s="9">
        <v>14244318.64</v>
      </c>
      <c r="AQ158" s="9">
        <v>13806131.17</v>
      </c>
      <c r="AR158" s="9">
        <v>18734990.97</v>
      </c>
      <c r="AS158" s="9">
        <v>12504610.84</v>
      </c>
      <c r="AT158" s="10">
        <v>0.937037296779693</v>
      </c>
      <c r="AU158" s="10">
        <v>0.829827349479037</v>
      </c>
      <c r="AV158" s="10">
        <v>0.0861757108379013</v>
      </c>
      <c r="AW158" s="10"/>
      <c r="AX158" s="11"/>
      <c r="AY158" s="11"/>
      <c r="AZ158" s="11"/>
      <c r="BA158" s="11"/>
      <c r="BB158" s="9">
        <f t="shared" ref="BB158:BF158" si="216">SUM(B158,O158,)</f>
        <v>379330410.16</v>
      </c>
      <c r="BC158" s="9">
        <f t="shared" si="216"/>
        <v>27471281.11</v>
      </c>
      <c r="BD158" s="9">
        <f t="shared" si="216"/>
        <v>26244051.08</v>
      </c>
      <c r="BE158" s="9">
        <f t="shared" si="216"/>
        <v>35560613.17</v>
      </c>
      <c r="BF158" s="9">
        <f t="shared" si="216"/>
        <v>26486020.41</v>
      </c>
      <c r="BG158" s="10">
        <f t="shared" ref="BG158:BI158" si="217">AVERAGE(G158,T158,AT158,AG158)</f>
        <v>0.982334454382206</v>
      </c>
      <c r="BH158" s="10">
        <f t="shared" si="217"/>
        <v>0.862793195637901</v>
      </c>
      <c r="BI158" s="10">
        <f t="shared" si="217"/>
        <v>0.0823500200068892</v>
      </c>
      <c r="BJ158" s="11"/>
      <c r="BK158" s="11"/>
      <c r="BL158" s="11"/>
      <c r="BM158" s="11"/>
      <c r="BN158" s="11"/>
    </row>
    <row r="159" s="1" customFormat="1" spans="1:66">
      <c r="A159" s="9" t="s">
        <v>216</v>
      </c>
      <c r="B159" s="9">
        <v>242155890.26</v>
      </c>
      <c r="C159" s="9">
        <v>15208208.48</v>
      </c>
      <c r="D159" s="9">
        <v>15135869.32</v>
      </c>
      <c r="E159" s="9">
        <v>15218355.74</v>
      </c>
      <c r="F159" s="9">
        <v>15126945.44</v>
      </c>
      <c r="G159" s="10">
        <v>0.496387398444548</v>
      </c>
      <c r="H159" s="10">
        <v>0.493533408936082</v>
      </c>
      <c r="I159" s="10">
        <v>0.0327390495100095</v>
      </c>
      <c r="J159" s="10"/>
      <c r="K159" s="11"/>
      <c r="L159" s="11"/>
      <c r="M159" s="11"/>
      <c r="N159" s="11"/>
      <c r="O159" s="9">
        <v>242810491.11</v>
      </c>
      <c r="P159" s="9">
        <v>15807359.08</v>
      </c>
      <c r="Q159" s="9">
        <v>15083280.79</v>
      </c>
      <c r="R159" s="9">
        <v>15898769.38</v>
      </c>
      <c r="S159" s="9">
        <v>15693147.7</v>
      </c>
      <c r="T159" s="10">
        <v>0.496387398444548</v>
      </c>
      <c r="U159" s="10">
        <v>0.493533408936082</v>
      </c>
      <c r="V159" s="10">
        <v>0.0327390495100095</v>
      </c>
      <c r="W159" s="10"/>
      <c r="X159" s="11"/>
      <c r="Y159" s="11"/>
      <c r="Z159" s="11"/>
      <c r="AA159" s="11"/>
      <c r="AB159" s="9">
        <v>253055185.55</v>
      </c>
      <c r="AC159" s="9">
        <v>16953514.29</v>
      </c>
      <c r="AD159" s="9">
        <v>17331176.45</v>
      </c>
      <c r="AE159" s="9">
        <v>17159135.97</v>
      </c>
      <c r="AF159" s="9">
        <v>16618470.37</v>
      </c>
      <c r="AG159" s="10">
        <v>0.490118747232318</v>
      </c>
      <c r="AH159" s="10">
        <v>0.484245547067601</v>
      </c>
      <c r="AI159" s="10">
        <v>0.0339039406220933</v>
      </c>
      <c r="AJ159" s="10"/>
      <c r="AK159" s="11"/>
      <c r="AL159" s="11"/>
      <c r="AM159" s="11"/>
      <c r="AN159" s="11"/>
      <c r="AO159" s="9">
        <v>251073958.98</v>
      </c>
      <c r="AP159" s="9">
        <v>17442760.01</v>
      </c>
      <c r="AQ159" s="9">
        <v>17386627.42</v>
      </c>
      <c r="AR159" s="9">
        <v>17983944.9</v>
      </c>
      <c r="AS159" s="9">
        <v>17372722.44</v>
      </c>
      <c r="AT159" s="10">
        <v>0.497992359868511</v>
      </c>
      <c r="AU159" s="10">
        <v>0.483006440928319</v>
      </c>
      <c r="AV159" s="10">
        <v>0.035814038566685</v>
      </c>
      <c r="AW159" s="10"/>
      <c r="AX159" s="11"/>
      <c r="AY159" s="11"/>
      <c r="AZ159" s="11"/>
      <c r="BA159" s="11"/>
      <c r="BB159" s="9">
        <f t="shared" ref="BB159:BF159" si="218">SUM(B159,O159,)</f>
        <v>484966381.37</v>
      </c>
      <c r="BC159" s="9">
        <f t="shared" si="218"/>
        <v>31015567.56</v>
      </c>
      <c r="BD159" s="9">
        <f t="shared" si="218"/>
        <v>30219150.11</v>
      </c>
      <c r="BE159" s="9">
        <f t="shared" si="218"/>
        <v>31117125.12</v>
      </c>
      <c r="BF159" s="9">
        <f t="shared" si="218"/>
        <v>30820093.14</v>
      </c>
      <c r="BG159" s="10">
        <f t="shared" ref="BG159:BI159" si="219">AVERAGE(G159,T159,AT159,AG159)</f>
        <v>0.495221475997481</v>
      </c>
      <c r="BH159" s="10">
        <f t="shared" si="219"/>
        <v>0.488579701467021</v>
      </c>
      <c r="BI159" s="10">
        <f t="shared" si="219"/>
        <v>0.0337990195521993</v>
      </c>
      <c r="BJ159" s="11"/>
      <c r="BK159" s="11"/>
      <c r="BL159" s="11"/>
      <c r="BM159" s="11"/>
      <c r="BN159" s="11"/>
    </row>
    <row r="160" s="1" customFormat="1" spans="1:66">
      <c r="A160" s="12" t="s">
        <v>171</v>
      </c>
      <c r="B160" s="12">
        <v>746836667.25</v>
      </c>
      <c r="C160" s="12">
        <v>51378514.34</v>
      </c>
      <c r="D160" s="12">
        <v>51554217.94</v>
      </c>
      <c r="E160" s="12">
        <v>56789572.26</v>
      </c>
      <c r="F160" s="12">
        <v>49731404.21</v>
      </c>
      <c r="G160" s="13">
        <v>0.996458076322808</v>
      </c>
      <c r="H160" s="13">
        <v>0.940272069329658</v>
      </c>
      <c r="I160" s="13">
        <v>0.0710757336318148</v>
      </c>
      <c r="J160" s="13"/>
      <c r="K160" s="11"/>
      <c r="L160" s="11"/>
      <c r="M160" s="11"/>
      <c r="N160" s="11"/>
      <c r="O160" s="12">
        <v>758633962.08</v>
      </c>
      <c r="P160" s="12">
        <v>53269659.67</v>
      </c>
      <c r="Q160" s="12">
        <v>48448683.15</v>
      </c>
      <c r="R160" s="12">
        <v>59997351.74</v>
      </c>
      <c r="S160" s="12">
        <v>52896213.28</v>
      </c>
      <c r="T160" s="13">
        <v>0.996458076322808</v>
      </c>
      <c r="U160" s="13">
        <v>0.940272069329658</v>
      </c>
      <c r="V160" s="13">
        <v>0.0710757336318148</v>
      </c>
      <c r="W160" s="13"/>
      <c r="X160" s="11"/>
      <c r="Y160" s="11"/>
      <c r="Z160" s="11"/>
      <c r="AA160" s="11"/>
      <c r="AB160" s="12">
        <v>779581579.76</v>
      </c>
      <c r="AC160" s="12">
        <v>55544747.11</v>
      </c>
      <c r="AD160" s="12">
        <v>57083772.02</v>
      </c>
      <c r="AE160" s="12">
        <v>62331421.81</v>
      </c>
      <c r="AF160" s="12">
        <v>54782315.66</v>
      </c>
      <c r="AG160" s="13">
        <v>0.993067935985112</v>
      </c>
      <c r="AH160" s="13">
        <v>0.938903099256611</v>
      </c>
      <c r="AI160" s="13">
        <v>0.0731849923638551</v>
      </c>
      <c r="AJ160" s="13"/>
      <c r="AK160" s="11"/>
      <c r="AL160" s="11"/>
      <c r="AM160" s="11"/>
      <c r="AN160" s="11"/>
      <c r="AO160" s="12">
        <v>779016274.43</v>
      </c>
      <c r="AP160" s="12">
        <v>57174802.47</v>
      </c>
      <c r="AQ160" s="12">
        <v>56191650.1</v>
      </c>
      <c r="AR160" s="12">
        <v>64287315.68</v>
      </c>
      <c r="AS160" s="12">
        <v>53441608.22</v>
      </c>
      <c r="AT160" s="13">
        <v>0.967034741446674</v>
      </c>
      <c r="AU160" s="13">
        <v>0.914916507241663</v>
      </c>
      <c r="AV160" s="13">
        <v>0.0763860723784015</v>
      </c>
      <c r="AW160" s="13"/>
      <c r="AX160" s="11"/>
      <c r="AY160" s="11"/>
      <c r="AZ160" s="11"/>
      <c r="BA160" s="11"/>
      <c r="BB160" s="12">
        <v>746836667.25</v>
      </c>
      <c r="BC160" s="12">
        <v>51378514.34</v>
      </c>
      <c r="BD160" s="12">
        <v>51554217.94</v>
      </c>
      <c r="BE160" s="12">
        <v>56789572.26</v>
      </c>
      <c r="BF160" s="12">
        <v>49731404.21</v>
      </c>
      <c r="BG160" s="13">
        <v>0.996458076322808</v>
      </c>
      <c r="BH160" s="13">
        <v>0.940272069329658</v>
      </c>
      <c r="BI160" s="13">
        <v>0.0710757336318148</v>
      </c>
      <c r="BJ160" s="11"/>
      <c r="BK160" s="11"/>
      <c r="BL160" s="11"/>
      <c r="BM160" s="11"/>
      <c r="BN160" s="11"/>
    </row>
    <row r="161" s="1" customFormat="1" spans="1:66">
      <c r="A161" s="14" t="s">
        <v>172</v>
      </c>
      <c r="B161" s="14">
        <v>4220386207.34</v>
      </c>
      <c r="C161" s="14">
        <v>319122124.129999</v>
      </c>
      <c r="D161" s="14">
        <v>321340795.65</v>
      </c>
      <c r="E161" s="14">
        <v>345315481.609999</v>
      </c>
      <c r="F161" s="14">
        <v>307751077.9</v>
      </c>
      <c r="G161" s="15">
        <v>0.972779353327039</v>
      </c>
      <c r="H161" s="15">
        <v>0.886978937878497</v>
      </c>
      <c r="I161" s="15">
        <v>0.0769586009896894</v>
      </c>
      <c r="J161" s="15"/>
      <c r="K161" s="11"/>
      <c r="L161" s="11"/>
      <c r="M161" s="11"/>
      <c r="N161" s="11"/>
      <c r="O161" s="14">
        <v>4278594991.33</v>
      </c>
      <c r="P161" s="14">
        <v>327064903.86</v>
      </c>
      <c r="Q161" s="14">
        <v>299311344.07</v>
      </c>
      <c r="R161" s="14">
        <v>360222593.54</v>
      </c>
      <c r="S161" s="14">
        <v>321387024.62</v>
      </c>
      <c r="T161" s="15">
        <v>0.972779353327039</v>
      </c>
      <c r="U161" s="15">
        <v>0.886978937878497</v>
      </c>
      <c r="V161" s="15">
        <v>0.0769586009896894</v>
      </c>
      <c r="W161" s="15"/>
      <c r="X161" s="11"/>
      <c r="Y161" s="11"/>
      <c r="Z161" s="11"/>
      <c r="AA161" s="11"/>
      <c r="AB161" s="14">
        <v>4275752841.95</v>
      </c>
      <c r="AC161" s="14">
        <v>333086905</v>
      </c>
      <c r="AD161" s="14">
        <v>350344878.21</v>
      </c>
      <c r="AE161" s="14">
        <v>366382852.65</v>
      </c>
      <c r="AF161" s="14">
        <v>325178355.94</v>
      </c>
      <c r="AG161" s="15">
        <v>0.939827007770633</v>
      </c>
      <c r="AH161" s="15">
        <v>0.845211788048681</v>
      </c>
      <c r="AI161" s="15">
        <v>0.0789967731317063</v>
      </c>
      <c r="AJ161" s="15"/>
      <c r="AK161" s="11"/>
      <c r="AL161" s="11"/>
      <c r="AM161" s="11"/>
      <c r="AN161" s="11"/>
      <c r="AO161" s="14">
        <v>4361508697.55</v>
      </c>
      <c r="AP161" s="14">
        <v>341528525.3</v>
      </c>
      <c r="AQ161" s="14">
        <v>346860921.3</v>
      </c>
      <c r="AR161" s="14">
        <v>378600917.47</v>
      </c>
      <c r="AS161" s="14">
        <v>326280762.78</v>
      </c>
      <c r="AT161" s="15">
        <v>0.978387345177019</v>
      </c>
      <c r="AU161" s="15">
        <v>0.845267004191343</v>
      </c>
      <c r="AV161" s="15">
        <v>0.0840676918503471</v>
      </c>
      <c r="AW161" s="15"/>
      <c r="AX161" s="11"/>
      <c r="AY161" s="11"/>
      <c r="AZ161" s="11"/>
      <c r="BA161" s="11"/>
      <c r="BB161" s="14">
        <v>4220386207.34</v>
      </c>
      <c r="BC161" s="14">
        <v>319122124.129999</v>
      </c>
      <c r="BD161" s="14">
        <v>321340795.65</v>
      </c>
      <c r="BE161" s="14">
        <v>345315481.609999</v>
      </c>
      <c r="BF161" s="14">
        <v>307751077.9</v>
      </c>
      <c r="BG161" s="15">
        <v>0.972779353327039</v>
      </c>
      <c r="BH161" s="15">
        <v>0.886978937878497</v>
      </c>
      <c r="BI161" s="15">
        <v>0.0769586009896894</v>
      </c>
      <c r="BJ161" s="11"/>
      <c r="BK161" s="11"/>
      <c r="BL161" s="11"/>
      <c r="BM161" s="11"/>
      <c r="BN161" s="11"/>
    </row>
    <row r="162" s="1" customFormat="1" spans="1:66">
      <c r="A162" s="16" t="s">
        <v>173</v>
      </c>
      <c r="B162" s="16">
        <v>13735235921.28</v>
      </c>
      <c r="C162" s="16">
        <v>973937497.499999</v>
      </c>
      <c r="D162" s="16">
        <v>1037826211.06</v>
      </c>
      <c r="E162" s="16">
        <v>1190883509.98</v>
      </c>
      <c r="F162" s="16">
        <v>924195399.029999</v>
      </c>
      <c r="G162" s="17">
        <v>0.992357712624915</v>
      </c>
      <c r="H162" s="17">
        <v>0.841140410523436</v>
      </c>
      <c r="I162" s="17">
        <v>0.0788153734960147</v>
      </c>
      <c r="J162" s="17"/>
      <c r="K162" s="11"/>
      <c r="L162" s="11"/>
      <c r="M162" s="11"/>
      <c r="N162" s="11"/>
      <c r="O162" s="16">
        <v>13828281063.88</v>
      </c>
      <c r="P162" s="16">
        <v>994027867.509999</v>
      </c>
      <c r="Q162" s="16">
        <v>896443847.45</v>
      </c>
      <c r="R162" s="16">
        <v>1239817566.63</v>
      </c>
      <c r="S162" s="16">
        <v>970826313.579999</v>
      </c>
      <c r="T162" s="17">
        <v>0.992357712624915</v>
      </c>
      <c r="U162" s="17">
        <v>0.841140410523436</v>
      </c>
      <c r="V162" s="17">
        <v>0.0788153734960147</v>
      </c>
      <c r="W162" s="17"/>
      <c r="X162" s="11"/>
      <c r="Y162" s="11"/>
      <c r="Z162" s="11"/>
      <c r="AA162" s="11"/>
      <c r="AB162" s="16">
        <v>13682217852.66</v>
      </c>
      <c r="AC162" s="16">
        <v>999884277.46</v>
      </c>
      <c r="AD162" s="16">
        <v>1159117041.84</v>
      </c>
      <c r="AE162" s="16">
        <v>1245782967.47</v>
      </c>
      <c r="AF162" s="16">
        <v>969393195.57</v>
      </c>
      <c r="AG162" s="17">
        <v>0.983602050814617</v>
      </c>
      <c r="AH162" s="17">
        <v>0.843013907716395</v>
      </c>
      <c r="AI162" s="17">
        <v>0.0802370015487982</v>
      </c>
      <c r="AJ162" s="17"/>
      <c r="AK162" s="11"/>
      <c r="AL162" s="11"/>
      <c r="AM162" s="11"/>
      <c r="AN162" s="11"/>
      <c r="AO162" s="16">
        <v>13914781125.13</v>
      </c>
      <c r="AP162" s="16">
        <v>1015895295.21</v>
      </c>
      <c r="AQ162" s="16">
        <v>1071579210.15</v>
      </c>
      <c r="AR162" s="16">
        <v>1280394557.57</v>
      </c>
      <c r="AS162" s="16">
        <v>939811372.399999</v>
      </c>
      <c r="AT162" s="17">
        <v>0.907145202333925</v>
      </c>
      <c r="AU162" s="17">
        <v>0.771902874813992</v>
      </c>
      <c r="AV162" s="17">
        <v>0.0806313870248783</v>
      </c>
      <c r="AW162" s="17"/>
      <c r="AX162" s="11"/>
      <c r="AY162" s="11"/>
      <c r="AZ162" s="11"/>
      <c r="BA162" s="11"/>
      <c r="BB162" s="16">
        <v>13735235921.28</v>
      </c>
      <c r="BC162" s="16">
        <v>973937497.499999</v>
      </c>
      <c r="BD162" s="16">
        <v>1037826211.06</v>
      </c>
      <c r="BE162" s="16">
        <v>1190883509.98</v>
      </c>
      <c r="BF162" s="16">
        <v>924195399.029999</v>
      </c>
      <c r="BG162" s="17">
        <v>0.992357712624915</v>
      </c>
      <c r="BH162" s="17">
        <v>0.841140410523436</v>
      </c>
      <c r="BI162" s="17">
        <v>0.0788153734960147</v>
      </c>
      <c r="BJ162" s="11"/>
      <c r="BK162" s="11"/>
      <c r="BL162" s="11"/>
      <c r="BM162" s="11"/>
      <c r="BN162" s="11"/>
    </row>
    <row r="163" s="1" customFormat="1" spans="1:66">
      <c r="A163" s="9" t="s">
        <v>175</v>
      </c>
      <c r="B163" s="9">
        <v>588357985.11</v>
      </c>
      <c r="C163" s="9">
        <v>47703714.7</v>
      </c>
      <c r="D163" s="9">
        <v>62880615.7500001</v>
      </c>
      <c r="E163" s="9">
        <v>50316763.01</v>
      </c>
      <c r="F163" s="9">
        <v>46483540.08</v>
      </c>
      <c r="G163" s="10">
        <v>0.990934892244848</v>
      </c>
      <c r="H163" s="10">
        <v>0.948904297995658</v>
      </c>
      <c r="I163" s="10">
        <v>0.0862206401515978</v>
      </c>
      <c r="J163" s="10"/>
      <c r="K163" s="11"/>
      <c r="L163" s="11"/>
      <c r="M163" s="11"/>
      <c r="N163" s="11"/>
      <c r="O163" s="9">
        <v>595419192.95</v>
      </c>
      <c r="P163" s="9">
        <v>48628699.0799999</v>
      </c>
      <c r="Q163" s="9">
        <v>43766207.55</v>
      </c>
      <c r="R163" s="9">
        <v>52164397.2299999</v>
      </c>
      <c r="S163" s="9">
        <v>47880782.6999999</v>
      </c>
      <c r="T163" s="10">
        <v>0.990934892244848</v>
      </c>
      <c r="U163" s="10">
        <v>0.948904297995658</v>
      </c>
      <c r="V163" s="10">
        <v>0.0862206401515978</v>
      </c>
      <c r="W163" s="10"/>
      <c r="X163" s="11"/>
      <c r="Y163" s="11"/>
      <c r="Z163" s="11"/>
      <c r="AA163" s="11"/>
      <c r="AB163" s="9">
        <v>581216330.71</v>
      </c>
      <c r="AC163" s="9">
        <v>49178724.19</v>
      </c>
      <c r="AD163" s="9">
        <v>52062942.89</v>
      </c>
      <c r="AE163" s="9">
        <v>52620326.45</v>
      </c>
      <c r="AF163" s="9">
        <v>47481850.98</v>
      </c>
      <c r="AG163" s="10">
        <v>0.982521545913399</v>
      </c>
      <c r="AH163" s="10">
        <v>0.941062668695869</v>
      </c>
      <c r="AI163" s="10">
        <v>0.0909796149335072</v>
      </c>
      <c r="AJ163" s="10"/>
      <c r="AK163" s="11"/>
      <c r="AL163" s="11"/>
      <c r="AM163" s="11"/>
      <c r="AN163" s="11"/>
      <c r="AO163" s="9">
        <v>570765373.71</v>
      </c>
      <c r="AP163" s="9">
        <v>49555911.84</v>
      </c>
      <c r="AQ163" s="9">
        <v>47684823.1</v>
      </c>
      <c r="AR163" s="9">
        <v>52873566.11</v>
      </c>
      <c r="AS163" s="9">
        <v>43254549.81</v>
      </c>
      <c r="AT163" s="10">
        <v>0.93497843759883</v>
      </c>
      <c r="AU163" s="10">
        <v>0.897791468456172</v>
      </c>
      <c r="AV163" s="10">
        <v>0.0958235504603017</v>
      </c>
      <c r="AW163" s="10"/>
      <c r="AX163" s="11"/>
      <c r="AY163" s="11"/>
      <c r="AZ163" s="11"/>
      <c r="BA163" s="11"/>
      <c r="BB163" s="9">
        <f t="shared" ref="BB163:BF163" si="220">SUM(B163,O163,)</f>
        <v>1183777178.06</v>
      </c>
      <c r="BC163" s="9">
        <f t="shared" si="220"/>
        <v>96332413.7799999</v>
      </c>
      <c r="BD163" s="9">
        <f t="shared" si="220"/>
        <v>106646823.3</v>
      </c>
      <c r="BE163" s="9">
        <f t="shared" si="220"/>
        <v>102481160.24</v>
      </c>
      <c r="BF163" s="9">
        <f t="shared" si="220"/>
        <v>94364322.7799999</v>
      </c>
      <c r="BG163" s="10">
        <f t="shared" ref="BG163:BI163" si="221">AVERAGE(G163,T163,AT163,AG163)</f>
        <v>0.974842442000481</v>
      </c>
      <c r="BH163" s="10">
        <f t="shared" si="221"/>
        <v>0.934165683285839</v>
      </c>
      <c r="BI163" s="10">
        <f t="shared" si="221"/>
        <v>0.0898111114242511</v>
      </c>
      <c r="BJ163" s="11"/>
      <c r="BK163" s="11"/>
      <c r="BL163" s="11"/>
      <c r="BM163" s="11"/>
      <c r="BN163" s="11"/>
    </row>
    <row r="164" s="1" customFormat="1" spans="1:66">
      <c r="A164" s="9" t="s">
        <v>174</v>
      </c>
      <c r="B164" s="9">
        <v>473681914.73</v>
      </c>
      <c r="C164" s="9">
        <v>36177476.97</v>
      </c>
      <c r="D164" s="9">
        <v>39422064.72</v>
      </c>
      <c r="E164" s="9">
        <v>47122142.95</v>
      </c>
      <c r="F164" s="9">
        <v>34328013.59</v>
      </c>
      <c r="G164" s="10">
        <v>0.987803658971716</v>
      </c>
      <c r="H164" s="10">
        <v>0.870446789886991</v>
      </c>
      <c r="I164" s="10">
        <v>0.0761410204733949</v>
      </c>
      <c r="J164" s="10"/>
      <c r="K164" s="11"/>
      <c r="L164" s="11"/>
      <c r="M164" s="11"/>
      <c r="N164" s="11"/>
      <c r="O164" s="9">
        <v>480527133.78</v>
      </c>
      <c r="P164" s="9">
        <v>38088850.9</v>
      </c>
      <c r="Q164" s="9">
        <v>32730541.5</v>
      </c>
      <c r="R164" s="9">
        <v>50035929.92</v>
      </c>
      <c r="S164" s="9">
        <v>37168955.15</v>
      </c>
      <c r="T164" s="10">
        <v>0.987803658971716</v>
      </c>
      <c r="U164" s="10">
        <v>0.870446789886991</v>
      </c>
      <c r="V164" s="10">
        <v>0.0761410204733949</v>
      </c>
      <c r="W164" s="10"/>
      <c r="X164" s="11"/>
      <c r="Y164" s="11"/>
      <c r="Z164" s="11"/>
      <c r="AA164" s="11"/>
      <c r="AB164" s="9">
        <v>475776209.92</v>
      </c>
      <c r="AC164" s="9">
        <v>39344543.51</v>
      </c>
      <c r="AD164" s="9">
        <v>53131463.38</v>
      </c>
      <c r="AE164" s="9">
        <v>50781282.98</v>
      </c>
      <c r="AF164" s="9">
        <v>38060086.25</v>
      </c>
      <c r="AG164" s="10">
        <v>0.983518927762983</v>
      </c>
      <c r="AH164" s="10">
        <v>0.873808638098655</v>
      </c>
      <c r="AI164" s="10">
        <v>0.0783103619838427</v>
      </c>
      <c r="AJ164" s="10"/>
      <c r="AK164" s="11"/>
      <c r="AL164" s="11"/>
      <c r="AM164" s="11"/>
      <c r="AN164" s="11"/>
      <c r="AO164" s="9">
        <v>183695772.06</v>
      </c>
      <c r="AP164" s="9">
        <v>14968221.68</v>
      </c>
      <c r="AQ164" s="9">
        <v>11247428.93</v>
      </c>
      <c r="AR164" s="9">
        <v>19834626.2</v>
      </c>
      <c r="AS164" s="9">
        <v>10872977.47</v>
      </c>
      <c r="AT164" s="10">
        <v>0.837214258554299</v>
      </c>
      <c r="AU164" s="10">
        <v>0.744846387407374</v>
      </c>
      <c r="AV164" s="10">
        <v>0.0822623637921872</v>
      </c>
      <c r="AW164" s="10"/>
      <c r="AX164" s="11"/>
      <c r="AY164" s="11"/>
      <c r="AZ164" s="11"/>
      <c r="BA164" s="11"/>
      <c r="BB164" s="9">
        <f t="shared" ref="BB164:BF164" si="222">SUM(B164,O164,)</f>
        <v>954209048.51</v>
      </c>
      <c r="BC164" s="9">
        <f t="shared" si="222"/>
        <v>74266327.8699999</v>
      </c>
      <c r="BD164" s="9">
        <f t="shared" si="222"/>
        <v>72152606.2199999</v>
      </c>
      <c r="BE164" s="9">
        <f t="shared" si="222"/>
        <v>97158072.8699999</v>
      </c>
      <c r="BF164" s="9">
        <f t="shared" si="222"/>
        <v>71496968.7399999</v>
      </c>
      <c r="BG164" s="10">
        <f t="shared" ref="BG164:BI164" si="223">AVERAGE(G164,T164,AT164,AG164)</f>
        <v>0.949085126065179</v>
      </c>
      <c r="BH164" s="10">
        <f t="shared" si="223"/>
        <v>0.839887151320003</v>
      </c>
      <c r="BI164" s="10">
        <f t="shared" si="223"/>
        <v>0.0782136916807049</v>
      </c>
      <c r="BJ164" s="11"/>
      <c r="BK164" s="11"/>
      <c r="BL164" s="11"/>
      <c r="BM164" s="11"/>
      <c r="BN164" s="11"/>
    </row>
    <row r="165" s="1" customFormat="1" spans="1:66">
      <c r="A165" s="9" t="s">
        <v>217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10">
        <v>0</v>
      </c>
      <c r="H165" s="10">
        <v>0</v>
      </c>
      <c r="I165" s="10">
        <v>0</v>
      </c>
      <c r="J165" s="10"/>
      <c r="K165" s="11"/>
      <c r="L165" s="11"/>
      <c r="M165" s="11"/>
      <c r="N165" s="11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10">
        <v>0</v>
      </c>
      <c r="U165" s="10">
        <v>0</v>
      </c>
      <c r="V165" s="10">
        <v>0</v>
      </c>
      <c r="W165" s="10"/>
      <c r="X165" s="11"/>
      <c r="Y165" s="11"/>
      <c r="Z165" s="11"/>
      <c r="AA165" s="11"/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10" t="e">
        <v>#DIV/0!</v>
      </c>
      <c r="AH165" s="10" t="e">
        <v>#DIV/0!</v>
      </c>
      <c r="AI165" s="10" t="e">
        <v>#DIV/0!</v>
      </c>
      <c r="AJ165" s="10"/>
      <c r="AK165" s="11"/>
      <c r="AL165" s="11"/>
      <c r="AM165" s="11"/>
      <c r="AN165" s="11"/>
      <c r="AO165" s="9">
        <v>291597881.53</v>
      </c>
      <c r="AP165" s="9">
        <v>24467360.53</v>
      </c>
      <c r="AQ165" s="9">
        <v>22449212.89</v>
      </c>
      <c r="AR165" s="9">
        <v>31619607.04</v>
      </c>
      <c r="AS165" s="9">
        <v>21717870.74</v>
      </c>
      <c r="AT165" s="10">
        <v>0.443813109987308</v>
      </c>
      <c r="AU165" s="10">
        <v>0.343424108853188</v>
      </c>
      <c r="AV165" s="10">
        <v>0.0542178270879292</v>
      </c>
      <c r="AW165" s="10"/>
      <c r="AX165" s="11"/>
      <c r="AY165" s="11"/>
      <c r="AZ165" s="11"/>
      <c r="BA165" s="11"/>
      <c r="BB165" s="9">
        <f t="shared" ref="BB165:BF165" si="224">SUM(B165,O165,)</f>
        <v>0</v>
      </c>
      <c r="BC165" s="9">
        <f t="shared" si="224"/>
        <v>0</v>
      </c>
      <c r="BD165" s="9">
        <f t="shared" si="224"/>
        <v>0</v>
      </c>
      <c r="BE165" s="9">
        <f t="shared" si="224"/>
        <v>0</v>
      </c>
      <c r="BF165" s="9">
        <f t="shared" si="224"/>
        <v>0</v>
      </c>
      <c r="BG165" s="10" t="e">
        <f t="shared" ref="BG165:BI165" si="225">AVERAGE(G165,T165,AT165,AG165)</f>
        <v>#DIV/0!</v>
      </c>
      <c r="BH165" s="10" t="e">
        <f t="shared" si="225"/>
        <v>#DIV/0!</v>
      </c>
      <c r="BI165" s="10" t="e">
        <f t="shared" si="225"/>
        <v>#DIV/0!</v>
      </c>
      <c r="BJ165" s="11"/>
      <c r="BK165" s="11"/>
      <c r="BL165" s="11"/>
      <c r="BM165" s="11"/>
      <c r="BN165" s="11"/>
    </row>
    <row r="166" s="1" customFormat="1" spans="1:66">
      <c r="A166" s="12" t="s">
        <v>176</v>
      </c>
      <c r="B166" s="12">
        <v>1062039899.84</v>
      </c>
      <c r="C166" s="12">
        <v>83881191.67</v>
      </c>
      <c r="D166" s="12">
        <v>102302680.47</v>
      </c>
      <c r="E166" s="12">
        <v>97438905.96</v>
      </c>
      <c r="F166" s="12">
        <v>80811553.67</v>
      </c>
      <c r="G166" s="13">
        <v>0.989478964493694</v>
      </c>
      <c r="H166" s="13">
        <v>0.909289124865806</v>
      </c>
      <c r="I166" s="13">
        <v>0.0803468622494454</v>
      </c>
      <c r="J166" s="13"/>
      <c r="K166" s="11"/>
      <c r="L166" s="11"/>
      <c r="M166" s="11"/>
      <c r="N166" s="11"/>
      <c r="O166" s="12">
        <v>1075946326.73</v>
      </c>
      <c r="P166" s="12">
        <v>86717549.9799999</v>
      </c>
      <c r="Q166" s="12">
        <v>76496749.0499999</v>
      </c>
      <c r="R166" s="12">
        <v>102200327.15</v>
      </c>
      <c r="S166" s="12">
        <v>85049737.8499999</v>
      </c>
      <c r="T166" s="13">
        <v>0.989478964493694</v>
      </c>
      <c r="U166" s="13">
        <v>0.909289124865806</v>
      </c>
      <c r="V166" s="13">
        <v>0.0803468622494454</v>
      </c>
      <c r="W166" s="13"/>
      <c r="X166" s="11"/>
      <c r="Y166" s="11"/>
      <c r="Z166" s="11"/>
      <c r="AA166" s="11"/>
      <c r="AB166" s="12">
        <v>1056992540.63</v>
      </c>
      <c r="AC166" s="12">
        <v>88523267.7</v>
      </c>
      <c r="AD166" s="12">
        <v>105194406.27</v>
      </c>
      <c r="AE166" s="12">
        <v>103401609.43</v>
      </c>
      <c r="AF166" s="12">
        <v>85541937.2299999</v>
      </c>
      <c r="AG166" s="13">
        <v>0.982965093747532</v>
      </c>
      <c r="AH166" s="13">
        <v>0.906823917361005</v>
      </c>
      <c r="AI166" s="13">
        <v>0.0836080224424559</v>
      </c>
      <c r="AJ166" s="13"/>
      <c r="AK166" s="11"/>
      <c r="AL166" s="11"/>
      <c r="AM166" s="11"/>
      <c r="AN166" s="11"/>
      <c r="AO166" s="12">
        <v>1046059027.3</v>
      </c>
      <c r="AP166" s="12">
        <v>88991494.05</v>
      </c>
      <c r="AQ166" s="12">
        <v>81381464.92</v>
      </c>
      <c r="AR166" s="12">
        <v>104327799.35</v>
      </c>
      <c r="AS166" s="12">
        <v>75845398.02</v>
      </c>
      <c r="AT166" s="13">
        <v>0.914927284197794</v>
      </c>
      <c r="AU166" s="13">
        <v>0.848317357135053</v>
      </c>
      <c r="AV166" s="13">
        <v>0.0774259363789487</v>
      </c>
      <c r="AW166" s="13"/>
      <c r="AX166" s="11"/>
      <c r="AY166" s="11"/>
      <c r="AZ166" s="11"/>
      <c r="BA166" s="11"/>
      <c r="BB166" s="12">
        <v>1062039899.84</v>
      </c>
      <c r="BC166" s="12">
        <v>83881191.67</v>
      </c>
      <c r="BD166" s="12">
        <v>102302680.47</v>
      </c>
      <c r="BE166" s="12">
        <v>97438905.96</v>
      </c>
      <c r="BF166" s="12">
        <v>80811553.67</v>
      </c>
      <c r="BG166" s="13">
        <v>0.989478964493694</v>
      </c>
      <c r="BH166" s="13">
        <v>0.909289124865806</v>
      </c>
      <c r="BI166" s="13">
        <v>0.0803468622494454</v>
      </c>
      <c r="BJ166" s="11"/>
      <c r="BK166" s="11"/>
      <c r="BL166" s="11"/>
      <c r="BM166" s="11"/>
      <c r="BN166" s="11"/>
    </row>
    <row r="167" s="1" customFormat="1" spans="1:66">
      <c r="A167" s="9" t="s">
        <v>177</v>
      </c>
      <c r="B167" s="9">
        <v>507424319.44</v>
      </c>
      <c r="C167" s="9">
        <v>38618097.21</v>
      </c>
      <c r="D167" s="9">
        <v>41281655.1200001</v>
      </c>
      <c r="E167" s="9">
        <v>45326167.25</v>
      </c>
      <c r="F167" s="9">
        <v>36640754.04</v>
      </c>
      <c r="G167" s="10">
        <v>0.950468978116176</v>
      </c>
      <c r="H167" s="10">
        <v>0.650671856118724</v>
      </c>
      <c r="I167" s="10">
        <v>0.121039582154111</v>
      </c>
      <c r="J167" s="10"/>
      <c r="K167" s="11"/>
      <c r="L167" s="11"/>
      <c r="M167" s="11"/>
      <c r="N167" s="11"/>
      <c r="O167" s="9">
        <v>486525621.19</v>
      </c>
      <c r="P167" s="9">
        <v>38414621.2</v>
      </c>
      <c r="Q167" s="9">
        <v>36054944.77</v>
      </c>
      <c r="R167" s="9">
        <v>46344468.21</v>
      </c>
      <c r="S167" s="9">
        <v>37227963.8</v>
      </c>
      <c r="T167" s="10">
        <v>0.950468978116176</v>
      </c>
      <c r="U167" s="10">
        <v>0.650671856118724</v>
      </c>
      <c r="V167" s="10">
        <v>0.121039582154111</v>
      </c>
      <c r="W167" s="10"/>
      <c r="X167" s="11"/>
      <c r="Y167" s="11"/>
      <c r="Z167" s="11"/>
      <c r="AA167" s="11"/>
      <c r="AB167" s="9">
        <v>479746579.88</v>
      </c>
      <c r="AC167" s="9">
        <v>38682323.21</v>
      </c>
      <c r="AD167" s="9">
        <v>45776944.27</v>
      </c>
      <c r="AE167" s="9">
        <v>45568215.29</v>
      </c>
      <c r="AF167" s="9">
        <v>37002332.56</v>
      </c>
      <c r="AG167" s="10">
        <v>0.891948913596742</v>
      </c>
      <c r="AH167" s="10">
        <v>0.6191669077087</v>
      </c>
      <c r="AI167" s="10">
        <v>0.126897353819997</v>
      </c>
      <c r="AJ167" s="10"/>
      <c r="AK167" s="11"/>
      <c r="AL167" s="11"/>
      <c r="AM167" s="11"/>
      <c r="AN167" s="11"/>
      <c r="AO167" s="9">
        <v>491448928.81</v>
      </c>
      <c r="AP167" s="9">
        <v>38711074.33</v>
      </c>
      <c r="AQ167" s="9">
        <v>46991993.31</v>
      </c>
      <c r="AR167" s="9">
        <v>46532623.77</v>
      </c>
      <c r="AS167" s="9">
        <v>35241680.29</v>
      </c>
      <c r="AT167" s="10">
        <v>0.881076901561115</v>
      </c>
      <c r="AU167" s="10">
        <v>0.581582413844909</v>
      </c>
      <c r="AV167" s="10">
        <v>0.138402602613725</v>
      </c>
      <c r="AW167" s="10"/>
      <c r="AX167" s="11"/>
      <c r="AY167" s="11"/>
      <c r="AZ167" s="11"/>
      <c r="BA167" s="11"/>
      <c r="BB167" s="9">
        <f t="shared" ref="BB167:BF167" si="226">SUM(B167,O167,)</f>
        <v>993949940.63</v>
      </c>
      <c r="BC167" s="9">
        <f t="shared" si="226"/>
        <v>77032718.41</v>
      </c>
      <c r="BD167" s="9">
        <f t="shared" si="226"/>
        <v>77336599.8900001</v>
      </c>
      <c r="BE167" s="9">
        <f t="shared" si="226"/>
        <v>91670635.46</v>
      </c>
      <c r="BF167" s="9">
        <f t="shared" si="226"/>
        <v>73868717.84</v>
      </c>
      <c r="BG167" s="10">
        <f t="shared" ref="BG167:BI167" si="227">AVERAGE(G167,T167,AT167,AG167)</f>
        <v>0.918490942847553</v>
      </c>
      <c r="BH167" s="10">
        <f t="shared" si="227"/>
        <v>0.625523258447764</v>
      </c>
      <c r="BI167" s="10">
        <f t="shared" si="227"/>
        <v>0.126844780185486</v>
      </c>
      <c r="BJ167" s="11"/>
      <c r="BK167" s="11"/>
      <c r="BL167" s="11"/>
      <c r="BM167" s="11"/>
      <c r="BN167" s="11"/>
    </row>
    <row r="168" s="1" customFormat="1" spans="1:66">
      <c r="A168" s="9" t="s">
        <v>179</v>
      </c>
      <c r="B168" s="9">
        <v>441448832.59</v>
      </c>
      <c r="C168" s="9">
        <v>33757535</v>
      </c>
      <c r="D168" s="9">
        <v>30572336.25</v>
      </c>
      <c r="E168" s="9">
        <v>35151562.42</v>
      </c>
      <c r="F168" s="9">
        <v>32090654.95</v>
      </c>
      <c r="G168" s="10">
        <v>0.901523534213798</v>
      </c>
      <c r="H168" s="10">
        <v>0.960972509759023</v>
      </c>
      <c r="I168" s="10">
        <v>0.0791953492760917</v>
      </c>
      <c r="J168" s="10"/>
      <c r="K168" s="11"/>
      <c r="L168" s="11"/>
      <c r="M168" s="11"/>
      <c r="N168" s="11"/>
      <c r="O168" s="9">
        <v>426016783.07</v>
      </c>
      <c r="P168" s="9">
        <v>33922150.76</v>
      </c>
      <c r="Q168" s="9">
        <v>31603925.96</v>
      </c>
      <c r="R168" s="9">
        <v>35304834.15</v>
      </c>
      <c r="S168" s="9">
        <v>32964873.45</v>
      </c>
      <c r="T168" s="10">
        <v>0.901523534213798</v>
      </c>
      <c r="U168" s="10">
        <v>0.960972509759023</v>
      </c>
      <c r="V168" s="10">
        <v>0.0791953492760917</v>
      </c>
      <c r="W168" s="10"/>
      <c r="X168" s="11"/>
      <c r="Y168" s="11"/>
      <c r="Z168" s="11"/>
      <c r="AA168" s="11"/>
      <c r="AB168" s="9">
        <v>420898636.23</v>
      </c>
      <c r="AC168" s="9">
        <v>34280900.73</v>
      </c>
      <c r="AD168" s="9">
        <v>36743328.58</v>
      </c>
      <c r="AE168" s="9">
        <v>34849000.59</v>
      </c>
      <c r="AF168" s="9">
        <v>32498949.18</v>
      </c>
      <c r="AG168" s="10">
        <v>0.857685553088397</v>
      </c>
      <c r="AH168" s="10">
        <v>0.959967892781402</v>
      </c>
      <c r="AI168" s="10">
        <v>0.0752593623059714</v>
      </c>
      <c r="AJ168" s="10"/>
      <c r="AK168" s="11"/>
      <c r="AL168" s="11"/>
      <c r="AM168" s="11"/>
      <c r="AN168" s="11"/>
      <c r="AO168" s="9">
        <v>425307160.18</v>
      </c>
      <c r="AP168" s="9">
        <v>34436849.26</v>
      </c>
      <c r="AQ168" s="9">
        <v>36912765.65</v>
      </c>
      <c r="AR168" s="9">
        <v>35496679.71</v>
      </c>
      <c r="AS168" s="9">
        <v>31081979.37</v>
      </c>
      <c r="AT168" s="10">
        <v>0.941417376858002</v>
      </c>
      <c r="AU168" s="10">
        <v>0.930469517388567</v>
      </c>
      <c r="AV168" s="10">
        <v>0.0747800853605209</v>
      </c>
      <c r="AW168" s="10"/>
      <c r="AX168" s="11"/>
      <c r="AY168" s="11"/>
      <c r="AZ168" s="11"/>
      <c r="BA168" s="11"/>
      <c r="BB168" s="9">
        <f t="shared" ref="BB168:BF168" si="228">SUM(B168,O168,)</f>
        <v>867465615.66</v>
      </c>
      <c r="BC168" s="9">
        <f t="shared" si="228"/>
        <v>67679685.7599999</v>
      </c>
      <c r="BD168" s="9">
        <f t="shared" si="228"/>
        <v>62176262.21</v>
      </c>
      <c r="BE168" s="9">
        <f t="shared" si="228"/>
        <v>70456396.5699999</v>
      </c>
      <c r="BF168" s="9">
        <f t="shared" si="228"/>
        <v>65055528.4</v>
      </c>
      <c r="BG168" s="10">
        <f t="shared" ref="BG168:BI168" si="229">AVERAGE(G168,T168,AT168,AG168)</f>
        <v>0.900537499593499</v>
      </c>
      <c r="BH168" s="10">
        <f t="shared" si="229"/>
        <v>0.953095607422004</v>
      </c>
      <c r="BI168" s="10">
        <f t="shared" si="229"/>
        <v>0.0771075365546689</v>
      </c>
      <c r="BJ168" s="11"/>
      <c r="BK168" s="11"/>
      <c r="BL168" s="11"/>
      <c r="BM168" s="11"/>
      <c r="BN168" s="11"/>
    </row>
    <row r="169" s="1" customFormat="1" spans="1:66">
      <c r="A169" s="9" t="s">
        <v>178</v>
      </c>
      <c r="B169" s="9">
        <v>328429746.48</v>
      </c>
      <c r="C169" s="9">
        <v>23800050.9</v>
      </c>
      <c r="D169" s="9">
        <v>26324517.74</v>
      </c>
      <c r="E169" s="9">
        <v>25102066.54</v>
      </c>
      <c r="F169" s="9">
        <v>22783594.64</v>
      </c>
      <c r="G169" s="10">
        <v>0.99514990151015</v>
      </c>
      <c r="H169" s="10">
        <v>0.960155069706488</v>
      </c>
      <c r="I169" s="10">
        <v>0.0699115474821684</v>
      </c>
      <c r="J169" s="10"/>
      <c r="K169" s="11"/>
      <c r="L169" s="11"/>
      <c r="M169" s="11"/>
      <c r="N169" s="11"/>
      <c r="O169" s="9">
        <v>328409388.51</v>
      </c>
      <c r="P169" s="9">
        <v>23628462.31</v>
      </c>
      <c r="Q169" s="9">
        <v>21525169.48</v>
      </c>
      <c r="R169" s="9">
        <v>25274180.32</v>
      </c>
      <c r="S169" s="9">
        <v>23417373.44</v>
      </c>
      <c r="T169" s="10">
        <v>0.99514990151015</v>
      </c>
      <c r="U169" s="10">
        <v>0.960155069706488</v>
      </c>
      <c r="V169" s="10">
        <v>0.0699115474821684</v>
      </c>
      <c r="W169" s="10"/>
      <c r="X169" s="11"/>
      <c r="Y169" s="11"/>
      <c r="Z169" s="11"/>
      <c r="AA169" s="11"/>
      <c r="AB169" s="9">
        <v>340831642.34</v>
      </c>
      <c r="AC169" s="9">
        <v>24309871.57</v>
      </c>
      <c r="AD169" s="9">
        <v>27154326.91</v>
      </c>
      <c r="AE169" s="9">
        <v>25621573.76</v>
      </c>
      <c r="AF169" s="9">
        <v>23640217.53</v>
      </c>
      <c r="AG169" s="10">
        <v>0.985780043058432</v>
      </c>
      <c r="AH169" s="10">
        <v>0.958653614011826</v>
      </c>
      <c r="AI169" s="10">
        <v>0.0703427994230142</v>
      </c>
      <c r="AJ169" s="10"/>
      <c r="AK169" s="11"/>
      <c r="AL169" s="11"/>
      <c r="AM169" s="11"/>
      <c r="AN169" s="11"/>
      <c r="AO169" s="9">
        <v>338837764.07</v>
      </c>
      <c r="AP169" s="9">
        <v>25004663.75</v>
      </c>
      <c r="AQ169" s="9">
        <v>28932420.64</v>
      </c>
      <c r="AR169" s="9">
        <v>26530465.33</v>
      </c>
      <c r="AS169" s="9">
        <v>23423382.71</v>
      </c>
      <c r="AT169" s="10">
        <v>0.966161197991299</v>
      </c>
      <c r="AU169" s="10">
        <v>0.937524273711626</v>
      </c>
      <c r="AV169" s="10">
        <v>0.0736162781022012</v>
      </c>
      <c r="AW169" s="10"/>
      <c r="AX169" s="11"/>
      <c r="AY169" s="11"/>
      <c r="AZ169" s="11"/>
      <c r="BA169" s="11"/>
      <c r="BB169" s="9">
        <f t="shared" ref="BB169:BF169" si="230">SUM(B169,O169,)</f>
        <v>656839134.99</v>
      </c>
      <c r="BC169" s="9">
        <f t="shared" si="230"/>
        <v>47428513.21</v>
      </c>
      <c r="BD169" s="9">
        <f t="shared" si="230"/>
        <v>47849687.22</v>
      </c>
      <c r="BE169" s="9">
        <f t="shared" si="230"/>
        <v>50376246.86</v>
      </c>
      <c r="BF169" s="9">
        <f t="shared" si="230"/>
        <v>46200968.08</v>
      </c>
      <c r="BG169" s="10">
        <f t="shared" ref="BG169:BI169" si="231">AVERAGE(G169,T169,AT169,AG169)</f>
        <v>0.985560261017508</v>
      </c>
      <c r="BH169" s="10">
        <f t="shared" si="231"/>
        <v>0.954122006784107</v>
      </c>
      <c r="BI169" s="10">
        <f t="shared" si="231"/>
        <v>0.0709455431223881</v>
      </c>
      <c r="BJ169" s="11"/>
      <c r="BK169" s="11"/>
      <c r="BL169" s="11"/>
      <c r="BM169" s="11"/>
      <c r="BN169" s="11"/>
    </row>
    <row r="170" s="1" customFormat="1" spans="1:66">
      <c r="A170" s="12" t="s">
        <v>180</v>
      </c>
      <c r="B170" s="12">
        <v>1277302898.51</v>
      </c>
      <c r="C170" s="12">
        <v>96175683.11</v>
      </c>
      <c r="D170" s="12">
        <v>98178509.11</v>
      </c>
      <c r="E170" s="12">
        <v>105579796.21</v>
      </c>
      <c r="F170" s="12">
        <v>91515003.63</v>
      </c>
      <c r="G170" s="13">
        <v>0.940900111749553</v>
      </c>
      <c r="H170" s="13">
        <v>0.831817508425251</v>
      </c>
      <c r="I170" s="13">
        <v>0.0869478531031952</v>
      </c>
      <c r="J170" s="13"/>
      <c r="K170" s="11"/>
      <c r="L170" s="11"/>
      <c r="M170" s="11"/>
      <c r="N170" s="11"/>
      <c r="O170" s="12">
        <v>1240951792.77</v>
      </c>
      <c r="P170" s="12">
        <v>95965234.27</v>
      </c>
      <c r="Q170" s="12">
        <v>89184040.21</v>
      </c>
      <c r="R170" s="12">
        <v>106923482.68</v>
      </c>
      <c r="S170" s="12">
        <v>93610210.69</v>
      </c>
      <c r="T170" s="13">
        <v>0.940900111749553</v>
      </c>
      <c r="U170" s="13">
        <v>0.831817508425251</v>
      </c>
      <c r="V170" s="13">
        <v>0.0869478531031952</v>
      </c>
      <c r="W170" s="13"/>
      <c r="X170" s="11"/>
      <c r="Y170" s="11"/>
      <c r="Z170" s="11"/>
      <c r="AA170" s="11"/>
      <c r="AB170" s="12">
        <v>1241476858.45</v>
      </c>
      <c r="AC170" s="12">
        <v>97273095.51</v>
      </c>
      <c r="AD170" s="12">
        <v>109674599.76</v>
      </c>
      <c r="AE170" s="12">
        <v>106038789.64</v>
      </c>
      <c r="AF170" s="12">
        <v>93141499.27</v>
      </c>
      <c r="AG170" s="13">
        <v>0.907212816421852</v>
      </c>
      <c r="AH170" s="13">
        <v>0.810495670303542</v>
      </c>
      <c r="AI170" s="13">
        <v>0.0870252619786731</v>
      </c>
      <c r="AJ170" s="13"/>
      <c r="AK170" s="11"/>
      <c r="AL170" s="11"/>
      <c r="AM170" s="11"/>
      <c r="AN170" s="11"/>
      <c r="AO170" s="12">
        <v>1255593853.06</v>
      </c>
      <c r="AP170" s="12">
        <v>98152587.34</v>
      </c>
      <c r="AQ170" s="12">
        <v>112837179.6</v>
      </c>
      <c r="AR170" s="12">
        <v>108559768.81</v>
      </c>
      <c r="AS170" s="12">
        <v>89747042.37</v>
      </c>
      <c r="AT170" s="13">
        <v>0.933916358927612</v>
      </c>
      <c r="AU170" s="13">
        <v>0.781411211996793</v>
      </c>
      <c r="AV170" s="13">
        <v>0.0888952327496844</v>
      </c>
      <c r="AW170" s="13"/>
      <c r="AX170" s="11"/>
      <c r="AY170" s="11"/>
      <c r="AZ170" s="11"/>
      <c r="BA170" s="11"/>
      <c r="BB170" s="12">
        <v>1277302898.51</v>
      </c>
      <c r="BC170" s="12">
        <v>96175683.11</v>
      </c>
      <c r="BD170" s="12">
        <v>98178509.11</v>
      </c>
      <c r="BE170" s="12">
        <v>105579796.21</v>
      </c>
      <c r="BF170" s="12">
        <v>91515003.63</v>
      </c>
      <c r="BG170" s="13">
        <v>0.940900111749553</v>
      </c>
      <c r="BH170" s="13">
        <v>0.831817508425251</v>
      </c>
      <c r="BI170" s="13">
        <v>0.0869478531031952</v>
      </c>
      <c r="BJ170" s="11"/>
      <c r="BK170" s="11"/>
      <c r="BL170" s="11"/>
      <c r="BM170" s="11"/>
      <c r="BN170" s="11"/>
    </row>
    <row r="171" s="1" customFormat="1" spans="1:66">
      <c r="A171" s="9" t="s">
        <v>182</v>
      </c>
      <c r="B171" s="9">
        <v>469041857.129999</v>
      </c>
      <c r="C171" s="9">
        <v>28647896.21</v>
      </c>
      <c r="D171" s="9">
        <v>33940041.79</v>
      </c>
      <c r="E171" s="9">
        <v>30312915.77</v>
      </c>
      <c r="F171" s="9">
        <v>28095823.51</v>
      </c>
      <c r="G171" s="10">
        <v>0.489085507931524</v>
      </c>
      <c r="H171" s="10">
        <v>0.462776268155618</v>
      </c>
      <c r="I171" s="10">
        <v>0.0324524723474093</v>
      </c>
      <c r="J171" s="10"/>
      <c r="K171" s="11"/>
      <c r="L171" s="11"/>
      <c r="M171" s="11"/>
      <c r="N171" s="11"/>
      <c r="O171" s="9">
        <v>493157024.33</v>
      </c>
      <c r="P171" s="9">
        <v>30286514.29</v>
      </c>
      <c r="Q171" s="9">
        <v>27611959.17</v>
      </c>
      <c r="R171" s="9">
        <v>32008329.39</v>
      </c>
      <c r="S171" s="9">
        <v>29625390.45</v>
      </c>
      <c r="T171" s="10">
        <v>0.489085507931524</v>
      </c>
      <c r="U171" s="10">
        <v>0.462776268155618</v>
      </c>
      <c r="V171" s="10">
        <v>0.0324524723474093</v>
      </c>
      <c r="W171" s="10"/>
      <c r="X171" s="11"/>
      <c r="Y171" s="11"/>
      <c r="Z171" s="11"/>
      <c r="AA171" s="11"/>
      <c r="AB171" s="9">
        <v>484480013.76</v>
      </c>
      <c r="AC171" s="9">
        <v>30608410.94</v>
      </c>
      <c r="AD171" s="9">
        <v>35604769.7</v>
      </c>
      <c r="AE171" s="9">
        <v>32728845.24</v>
      </c>
      <c r="AF171" s="9">
        <v>28560038.46</v>
      </c>
      <c r="AG171" s="10">
        <v>0.466539058757161</v>
      </c>
      <c r="AH171" s="10">
        <v>0.436312956515419</v>
      </c>
      <c r="AI171" s="10">
        <v>0.0337772914366423</v>
      </c>
      <c r="AJ171" s="10"/>
      <c r="AK171" s="11"/>
      <c r="AL171" s="11"/>
      <c r="AM171" s="11"/>
      <c r="AN171" s="11"/>
      <c r="AO171" s="9">
        <v>481655475.71</v>
      </c>
      <c r="AP171" s="9">
        <v>30382449.71</v>
      </c>
      <c r="AQ171" s="9">
        <v>33195749.96</v>
      </c>
      <c r="AR171" s="9">
        <v>33144865.23</v>
      </c>
      <c r="AS171" s="9">
        <v>27665338.14</v>
      </c>
      <c r="AT171" s="10">
        <v>0.455284850366992</v>
      </c>
      <c r="AU171" s="10">
        <v>0.417339728914626</v>
      </c>
      <c r="AV171" s="10">
        <v>0.0344072339062913</v>
      </c>
      <c r="AW171" s="10"/>
      <c r="AX171" s="11"/>
      <c r="AY171" s="11"/>
      <c r="AZ171" s="11"/>
      <c r="BA171" s="11"/>
      <c r="BB171" s="9">
        <f t="shared" ref="BB171:BF171" si="232">SUM(B171,O171,)</f>
        <v>962198881.46</v>
      </c>
      <c r="BC171" s="9">
        <f t="shared" si="232"/>
        <v>58934410.5</v>
      </c>
      <c r="BD171" s="9">
        <f t="shared" si="232"/>
        <v>61552000.96</v>
      </c>
      <c r="BE171" s="9">
        <f t="shared" si="232"/>
        <v>62321245.16</v>
      </c>
      <c r="BF171" s="9">
        <f t="shared" si="232"/>
        <v>57721213.96</v>
      </c>
      <c r="BG171" s="10">
        <f t="shared" ref="BG171:BI171" si="233">AVERAGE(G171,T171,AT171,AG171)</f>
        <v>0.4749987312468</v>
      </c>
      <c r="BH171" s="10">
        <f t="shared" si="233"/>
        <v>0.44480130543532</v>
      </c>
      <c r="BI171" s="10">
        <f t="shared" si="233"/>
        <v>0.0332723675094381</v>
      </c>
      <c r="BJ171" s="11"/>
      <c r="BK171" s="11"/>
      <c r="BL171" s="11"/>
      <c r="BM171" s="11"/>
      <c r="BN171" s="11"/>
    </row>
    <row r="172" s="1" customFormat="1" spans="1:66">
      <c r="A172" s="9" t="s">
        <v>181</v>
      </c>
      <c r="B172" s="9">
        <v>245333844.66</v>
      </c>
      <c r="C172" s="9">
        <v>18948218.96</v>
      </c>
      <c r="D172" s="9">
        <v>17471416.16</v>
      </c>
      <c r="E172" s="9">
        <v>29902945.95</v>
      </c>
      <c r="F172" s="9">
        <v>16501742.01</v>
      </c>
      <c r="G172" s="10">
        <v>0.923352456368414</v>
      </c>
      <c r="H172" s="10">
        <v>0.521013837697326</v>
      </c>
      <c r="I172" s="10">
        <v>0.1271639632328</v>
      </c>
      <c r="J172" s="10"/>
      <c r="K172" s="11"/>
      <c r="L172" s="11"/>
      <c r="M172" s="11"/>
      <c r="N172" s="11"/>
      <c r="O172" s="9">
        <v>241999691.71</v>
      </c>
      <c r="P172" s="9">
        <v>19019155.24</v>
      </c>
      <c r="Q172" s="9">
        <v>16231510.11</v>
      </c>
      <c r="R172" s="9">
        <v>31894302.46</v>
      </c>
      <c r="S172" s="9">
        <v>17881548.44</v>
      </c>
      <c r="T172" s="10">
        <v>0.923352456368414</v>
      </c>
      <c r="U172" s="10">
        <v>0.521013837697326</v>
      </c>
      <c r="V172" s="10">
        <v>0.1271639632328</v>
      </c>
      <c r="W172" s="10"/>
      <c r="X172" s="11"/>
      <c r="Y172" s="11"/>
      <c r="Z172" s="11"/>
      <c r="AA172" s="11"/>
      <c r="AB172" s="9">
        <v>252238215.04</v>
      </c>
      <c r="AC172" s="9">
        <v>19165814.44</v>
      </c>
      <c r="AD172" s="9">
        <v>18682190</v>
      </c>
      <c r="AE172" s="9">
        <v>32536060.05</v>
      </c>
      <c r="AF172" s="9">
        <v>17341072.76</v>
      </c>
      <c r="AG172" s="10">
        <v>0.905353930185232</v>
      </c>
      <c r="AH172" s="10">
        <v>0.508456114557793</v>
      </c>
      <c r="AI172" s="10">
        <v>0.12804015511307</v>
      </c>
      <c r="AJ172" s="10"/>
      <c r="AK172" s="11"/>
      <c r="AL172" s="11"/>
      <c r="AM172" s="11"/>
      <c r="AN172" s="11"/>
      <c r="AO172" s="9">
        <v>242171684.98</v>
      </c>
      <c r="AP172" s="9">
        <v>19063821.2</v>
      </c>
      <c r="AQ172" s="9">
        <v>26811023.39</v>
      </c>
      <c r="AR172" s="9">
        <v>33654702.55</v>
      </c>
      <c r="AS172" s="9">
        <v>15281016.98</v>
      </c>
      <c r="AT172" s="10">
        <v>0.705715043551053</v>
      </c>
      <c r="AU172" s="10">
        <v>0.391078097250935</v>
      </c>
      <c r="AV172" s="10">
        <v>0.135879373076055</v>
      </c>
      <c r="AW172" s="10"/>
      <c r="AX172" s="11"/>
      <c r="AY172" s="11"/>
      <c r="AZ172" s="11"/>
      <c r="BA172" s="11"/>
      <c r="BB172" s="9">
        <f t="shared" ref="BB172:BF172" si="234">SUM(B172,O172,)</f>
        <v>487333536.37</v>
      </c>
      <c r="BC172" s="9">
        <f t="shared" si="234"/>
        <v>37967374.2</v>
      </c>
      <c r="BD172" s="9">
        <f t="shared" si="234"/>
        <v>33702926.27</v>
      </c>
      <c r="BE172" s="9">
        <f t="shared" si="234"/>
        <v>61797248.41</v>
      </c>
      <c r="BF172" s="9">
        <f t="shared" si="234"/>
        <v>34383290.45</v>
      </c>
      <c r="BG172" s="10">
        <f t="shared" ref="BG172:BI172" si="235">AVERAGE(G172,T172,AT172,AG172)</f>
        <v>0.864443471618278</v>
      </c>
      <c r="BH172" s="10">
        <f t="shared" si="235"/>
        <v>0.485390471800845</v>
      </c>
      <c r="BI172" s="10">
        <f t="shared" si="235"/>
        <v>0.129561863663681</v>
      </c>
      <c r="BJ172" s="11"/>
      <c r="BK172" s="11"/>
      <c r="BL172" s="11"/>
      <c r="BM172" s="11"/>
      <c r="BN172" s="11"/>
    </row>
    <row r="173" s="1" customFormat="1" spans="1:66">
      <c r="A173" s="12" t="s">
        <v>183</v>
      </c>
      <c r="B173" s="12">
        <v>714375701.789999</v>
      </c>
      <c r="C173" s="12">
        <v>47596115.17</v>
      </c>
      <c r="D173" s="12">
        <v>51411457.95</v>
      </c>
      <c r="E173" s="12">
        <v>60215861.72</v>
      </c>
      <c r="F173" s="12">
        <v>44597565.52</v>
      </c>
      <c r="G173" s="13">
        <v>0.934778302552016</v>
      </c>
      <c r="H173" s="13">
        <v>0.613391354661799</v>
      </c>
      <c r="I173" s="13">
        <v>0.104251631341042</v>
      </c>
      <c r="J173" s="13"/>
      <c r="K173" s="11"/>
      <c r="L173" s="11"/>
      <c r="M173" s="11"/>
      <c r="N173" s="11"/>
      <c r="O173" s="12">
        <v>735156716.04</v>
      </c>
      <c r="P173" s="12">
        <v>49305669.53</v>
      </c>
      <c r="Q173" s="12">
        <v>43843469.28</v>
      </c>
      <c r="R173" s="12">
        <v>63902631.85</v>
      </c>
      <c r="S173" s="12">
        <v>47506938.89</v>
      </c>
      <c r="T173" s="13">
        <v>0.934778302552016</v>
      </c>
      <c r="U173" s="13">
        <v>0.613391354661799</v>
      </c>
      <c r="V173" s="13">
        <v>0.104251631341042</v>
      </c>
      <c r="W173" s="13"/>
      <c r="X173" s="11"/>
      <c r="Y173" s="11"/>
      <c r="Z173" s="11"/>
      <c r="AA173" s="11"/>
      <c r="AB173" s="12">
        <v>736718228.8</v>
      </c>
      <c r="AC173" s="12">
        <v>49774225.38</v>
      </c>
      <c r="AD173" s="12">
        <v>54286959.7</v>
      </c>
      <c r="AE173" s="12">
        <v>65264905.29</v>
      </c>
      <c r="AF173" s="12">
        <v>45901111.22</v>
      </c>
      <c r="AG173" s="13">
        <v>0.914184936834529</v>
      </c>
      <c r="AH173" s="13">
        <v>0.594784322868619</v>
      </c>
      <c r="AI173" s="13">
        <v>0.107532708682931</v>
      </c>
      <c r="AJ173" s="13"/>
      <c r="AK173" s="11"/>
      <c r="AL173" s="11"/>
      <c r="AM173" s="11"/>
      <c r="AN173" s="11"/>
      <c r="AO173" s="12">
        <v>723827160.69</v>
      </c>
      <c r="AP173" s="12">
        <v>49446270.91</v>
      </c>
      <c r="AQ173" s="12">
        <v>60006773.35</v>
      </c>
      <c r="AR173" s="12">
        <v>66799567.78</v>
      </c>
      <c r="AS173" s="12">
        <v>42946355.12</v>
      </c>
      <c r="AT173" s="13">
        <v>0.737376621952325</v>
      </c>
      <c r="AU173" s="13">
        <v>0.486037659916029</v>
      </c>
      <c r="AV173" s="13">
        <v>0.112135465524375</v>
      </c>
      <c r="AW173" s="13"/>
      <c r="AX173" s="11"/>
      <c r="AY173" s="11"/>
      <c r="AZ173" s="11"/>
      <c r="BA173" s="11"/>
      <c r="BB173" s="12">
        <v>714375701.789999</v>
      </c>
      <c r="BC173" s="12">
        <v>47596115.17</v>
      </c>
      <c r="BD173" s="12">
        <v>51411457.95</v>
      </c>
      <c r="BE173" s="12">
        <v>60215861.72</v>
      </c>
      <c r="BF173" s="12">
        <v>44597565.52</v>
      </c>
      <c r="BG173" s="13">
        <v>0.934778302552016</v>
      </c>
      <c r="BH173" s="13">
        <v>0.613391354661799</v>
      </c>
      <c r="BI173" s="13">
        <v>0.104251631341042</v>
      </c>
      <c r="BJ173" s="11"/>
      <c r="BK173" s="11"/>
      <c r="BL173" s="11"/>
      <c r="BM173" s="11"/>
      <c r="BN173" s="11"/>
    </row>
    <row r="174" s="1" customFormat="1" spans="1:66">
      <c r="A174" s="14" t="s">
        <v>184</v>
      </c>
      <c r="B174" s="14">
        <v>3053718500.14</v>
      </c>
      <c r="C174" s="14">
        <v>227652989.95</v>
      </c>
      <c r="D174" s="14">
        <v>251892647.53</v>
      </c>
      <c r="E174" s="14">
        <v>263234563.89</v>
      </c>
      <c r="F174" s="14">
        <v>216924122.82</v>
      </c>
      <c r="G174" s="15">
        <v>0.946497400905614</v>
      </c>
      <c r="H174" s="15">
        <v>0.795370787057095</v>
      </c>
      <c r="I174" s="15">
        <v>0.0887424283134875</v>
      </c>
      <c r="J174" s="15"/>
      <c r="K174" s="11"/>
      <c r="L174" s="11"/>
      <c r="M174" s="11"/>
      <c r="N174" s="11"/>
      <c r="O174" s="14">
        <v>3052054835.54</v>
      </c>
      <c r="P174" s="14">
        <v>231988453.78</v>
      </c>
      <c r="Q174" s="14">
        <v>209524258.54</v>
      </c>
      <c r="R174" s="14">
        <v>273026441.68</v>
      </c>
      <c r="S174" s="14">
        <v>226166887.43</v>
      </c>
      <c r="T174" s="15">
        <v>0.946497400905614</v>
      </c>
      <c r="U174" s="15">
        <v>0.795370787057095</v>
      </c>
      <c r="V174" s="15">
        <v>0.0887424283134875</v>
      </c>
      <c r="W174" s="15"/>
      <c r="X174" s="11"/>
      <c r="Y174" s="11"/>
      <c r="Z174" s="11"/>
      <c r="AA174" s="11"/>
      <c r="AB174" s="14">
        <v>3035187627.88</v>
      </c>
      <c r="AC174" s="14">
        <v>235570588.59</v>
      </c>
      <c r="AD174" s="14">
        <v>269155965.73</v>
      </c>
      <c r="AE174" s="14">
        <v>274705304.36</v>
      </c>
      <c r="AF174" s="14">
        <v>224584547.72</v>
      </c>
      <c r="AG174" s="15">
        <v>0.917313366476308</v>
      </c>
      <c r="AH174" s="15">
        <v>0.773128196660549</v>
      </c>
      <c r="AI174" s="15">
        <v>0.0902062787529526</v>
      </c>
      <c r="AJ174" s="15"/>
      <c r="AK174" s="11"/>
      <c r="AL174" s="11"/>
      <c r="AM174" s="11"/>
      <c r="AN174" s="11"/>
      <c r="AO174" s="14">
        <v>3025480041.05</v>
      </c>
      <c r="AP174" s="14">
        <v>236590352.3</v>
      </c>
      <c r="AQ174" s="14">
        <v>254225417.87</v>
      </c>
      <c r="AR174" s="14">
        <v>279687135.94</v>
      </c>
      <c r="AS174" s="14">
        <v>208538795.51</v>
      </c>
      <c r="AT174" s="15">
        <v>0.904908100712719</v>
      </c>
      <c r="AU174" s="15">
        <v>0.736250599073456</v>
      </c>
      <c r="AV174" s="15">
        <v>0.0878546119830038</v>
      </c>
      <c r="AW174" s="15"/>
      <c r="AX174" s="11"/>
      <c r="AY174" s="11"/>
      <c r="AZ174" s="11"/>
      <c r="BA174" s="11"/>
      <c r="BB174" s="14">
        <v>3053718500.14</v>
      </c>
      <c r="BC174" s="14">
        <v>227652989.95</v>
      </c>
      <c r="BD174" s="14">
        <v>251892647.53</v>
      </c>
      <c r="BE174" s="14">
        <v>263234563.89</v>
      </c>
      <c r="BF174" s="14">
        <v>216924122.82</v>
      </c>
      <c r="BG174" s="15">
        <v>0.946497400905614</v>
      </c>
      <c r="BH174" s="15">
        <v>0.795370787057095</v>
      </c>
      <c r="BI174" s="15">
        <v>0.0887424283134875</v>
      </c>
      <c r="BJ174" s="11"/>
      <c r="BK174" s="11"/>
      <c r="BL174" s="11"/>
      <c r="BM174" s="11"/>
      <c r="BN174" s="11"/>
    </row>
    <row r="175" s="1" customFormat="1" spans="1:66">
      <c r="A175" s="9" t="s">
        <v>185</v>
      </c>
      <c r="B175" s="9">
        <v>371508169.15</v>
      </c>
      <c r="C175" s="9">
        <v>30723486.32</v>
      </c>
      <c r="D175" s="9">
        <v>37048513.58</v>
      </c>
      <c r="E175" s="9">
        <v>36774306.24</v>
      </c>
      <c r="F175" s="9">
        <v>29219006.16</v>
      </c>
      <c r="G175" s="10">
        <v>0.979643086222128</v>
      </c>
      <c r="H175" s="10">
        <v>0.846175193205213</v>
      </c>
      <c r="I175" s="10">
        <v>0.0817836704938555</v>
      </c>
      <c r="J175" s="10"/>
      <c r="K175" s="11"/>
      <c r="L175" s="11"/>
      <c r="M175" s="11"/>
      <c r="N175" s="11"/>
      <c r="O175" s="9">
        <v>365073718.26</v>
      </c>
      <c r="P175" s="9">
        <v>29809487.66</v>
      </c>
      <c r="Q175" s="9">
        <v>26972037.68</v>
      </c>
      <c r="R175" s="9">
        <v>35991232.77</v>
      </c>
      <c r="S175" s="9">
        <v>28886501.08</v>
      </c>
      <c r="T175" s="10">
        <v>0.979643086222128</v>
      </c>
      <c r="U175" s="10">
        <v>0.846175193205213</v>
      </c>
      <c r="V175" s="10">
        <v>0.0817836704938555</v>
      </c>
      <c r="W175" s="10"/>
      <c r="X175" s="11"/>
      <c r="Y175" s="11"/>
      <c r="Z175" s="11"/>
      <c r="AA175" s="11"/>
      <c r="AB175" s="9">
        <v>376469533.42</v>
      </c>
      <c r="AC175" s="9">
        <v>30150920.36</v>
      </c>
      <c r="AD175" s="9">
        <v>33470916.56</v>
      </c>
      <c r="AE175" s="9">
        <v>35279373.55</v>
      </c>
      <c r="AF175" s="9">
        <v>28099725.64</v>
      </c>
      <c r="AG175" s="10">
        <v>0.955154392268639</v>
      </c>
      <c r="AH175" s="10">
        <v>0.849097013351261</v>
      </c>
      <c r="AI175" s="10">
        <v>0.0783392207982491</v>
      </c>
      <c r="AJ175" s="10"/>
      <c r="AK175" s="11"/>
      <c r="AL175" s="11"/>
      <c r="AM175" s="11"/>
      <c r="AN175" s="11"/>
      <c r="AO175" s="9">
        <v>375251700.87</v>
      </c>
      <c r="AP175" s="9">
        <v>30105703.95</v>
      </c>
      <c r="AQ175" s="9">
        <v>28964380.95</v>
      </c>
      <c r="AR175" s="9">
        <v>35479823.01</v>
      </c>
      <c r="AS175" s="9">
        <v>26348141.68</v>
      </c>
      <c r="AT175" s="10">
        <v>0.922571143092641</v>
      </c>
      <c r="AU175" s="10">
        <v>0.819068032503802</v>
      </c>
      <c r="AV175" s="10">
        <v>0.0797606597844086</v>
      </c>
      <c r="AW175" s="10"/>
      <c r="AX175" s="11"/>
      <c r="AY175" s="11"/>
      <c r="AZ175" s="11"/>
      <c r="BA175" s="11"/>
      <c r="BB175" s="9">
        <f t="shared" ref="BB175:BF175" si="236">SUM(B175,O175,)</f>
        <v>736581887.41</v>
      </c>
      <c r="BC175" s="9">
        <f t="shared" si="236"/>
        <v>60532973.98</v>
      </c>
      <c r="BD175" s="9">
        <f t="shared" si="236"/>
        <v>64020551.26</v>
      </c>
      <c r="BE175" s="9">
        <f t="shared" si="236"/>
        <v>72765539.01</v>
      </c>
      <c r="BF175" s="9">
        <f t="shared" si="236"/>
        <v>58105507.24</v>
      </c>
      <c r="BG175" s="10">
        <f t="shared" ref="BG175:BI175" si="237">AVERAGE(G175,T175,AT175,AG175)</f>
        <v>0.959252926951384</v>
      </c>
      <c r="BH175" s="10">
        <f t="shared" si="237"/>
        <v>0.840128858066372</v>
      </c>
      <c r="BI175" s="10">
        <f t="shared" si="237"/>
        <v>0.0804168053925922</v>
      </c>
      <c r="BJ175" s="11"/>
      <c r="BK175" s="11"/>
      <c r="BL175" s="11"/>
      <c r="BM175" s="11"/>
      <c r="BN175" s="11"/>
    </row>
    <row r="176" s="1" customFormat="1" spans="1:66">
      <c r="A176" s="9" t="s">
        <v>186</v>
      </c>
      <c r="B176" s="9">
        <v>192496801.31</v>
      </c>
      <c r="C176" s="9">
        <v>15650331.26</v>
      </c>
      <c r="D176" s="9">
        <v>15134979.96</v>
      </c>
      <c r="E176" s="9">
        <v>18001540.79</v>
      </c>
      <c r="F176" s="9">
        <v>15925880.2</v>
      </c>
      <c r="G176" s="10">
        <v>0.906123202572497</v>
      </c>
      <c r="H176" s="10">
        <v>0.840693460802837</v>
      </c>
      <c r="I176" s="10">
        <v>0.0904460878678407</v>
      </c>
      <c r="J176" s="10"/>
      <c r="K176" s="11"/>
      <c r="L176" s="11"/>
      <c r="M176" s="11"/>
      <c r="N176" s="11"/>
      <c r="O176" s="9">
        <v>191710735</v>
      </c>
      <c r="P176" s="9">
        <v>15938083.94</v>
      </c>
      <c r="Q176" s="9">
        <v>14991521.35</v>
      </c>
      <c r="R176" s="9">
        <v>17474447.93</v>
      </c>
      <c r="S176" s="9">
        <v>15051131.55</v>
      </c>
      <c r="T176" s="10">
        <v>0.906123202572497</v>
      </c>
      <c r="U176" s="10">
        <v>0.840693460802837</v>
      </c>
      <c r="V176" s="10">
        <v>0.0904460878678407</v>
      </c>
      <c r="W176" s="10"/>
      <c r="X176" s="11"/>
      <c r="Y176" s="11"/>
      <c r="Z176" s="11"/>
      <c r="AA176" s="11"/>
      <c r="AB176" s="9">
        <v>193625515.81</v>
      </c>
      <c r="AC176" s="9">
        <v>16184255.38</v>
      </c>
      <c r="AD176" s="9">
        <v>18262065.29</v>
      </c>
      <c r="AE176" s="9">
        <v>16686571.45</v>
      </c>
      <c r="AF176" s="9">
        <v>15163547.52</v>
      </c>
      <c r="AG176" s="10">
        <v>0.87411450688432</v>
      </c>
      <c r="AH176" s="10">
        <v>0.870343118979332</v>
      </c>
      <c r="AI176" s="10">
        <v>0.0842485432471149</v>
      </c>
      <c r="AJ176" s="10"/>
      <c r="AK176" s="11"/>
      <c r="AL176" s="11"/>
      <c r="AM176" s="11"/>
      <c r="AN176" s="11"/>
      <c r="AO176" s="9">
        <v>193393203.6</v>
      </c>
      <c r="AP176" s="9">
        <v>15503686.77</v>
      </c>
      <c r="AQ176" s="9">
        <v>15802710.43</v>
      </c>
      <c r="AR176" s="9">
        <v>16317321.88</v>
      </c>
      <c r="AS176" s="9">
        <v>13608145.98</v>
      </c>
      <c r="AT176" s="10">
        <v>0.812854404818034</v>
      </c>
      <c r="AU176" s="10">
        <v>0.782698269195757</v>
      </c>
      <c r="AV176" s="10">
        <v>0.0833198920548341</v>
      </c>
      <c r="AW176" s="10"/>
      <c r="AX176" s="11"/>
      <c r="AY176" s="11"/>
      <c r="AZ176" s="11"/>
      <c r="BA176" s="11"/>
      <c r="BB176" s="9">
        <f t="shared" ref="BB176:BF176" si="238">SUM(B176,O176,)</f>
        <v>384207536.31</v>
      </c>
      <c r="BC176" s="9">
        <f t="shared" si="238"/>
        <v>31588415.2</v>
      </c>
      <c r="BD176" s="9">
        <f t="shared" si="238"/>
        <v>30126501.31</v>
      </c>
      <c r="BE176" s="9">
        <f t="shared" si="238"/>
        <v>35475988.72</v>
      </c>
      <c r="BF176" s="9">
        <f t="shared" si="238"/>
        <v>30977011.75</v>
      </c>
      <c r="BG176" s="10">
        <f t="shared" ref="BG176:BI176" si="239">AVERAGE(G176,T176,AT176,AG176)</f>
        <v>0.874803829211837</v>
      </c>
      <c r="BH176" s="10">
        <f t="shared" si="239"/>
        <v>0.833607077445191</v>
      </c>
      <c r="BI176" s="10">
        <f t="shared" si="239"/>
        <v>0.0871151527594076</v>
      </c>
      <c r="BJ176" s="11"/>
      <c r="BK176" s="11"/>
      <c r="BL176" s="11"/>
      <c r="BM176" s="11"/>
      <c r="BN176" s="11"/>
    </row>
    <row r="177" s="1" customFormat="1" spans="1:66">
      <c r="A177" s="9" t="s">
        <v>187</v>
      </c>
      <c r="B177" s="9">
        <v>285894196.29</v>
      </c>
      <c r="C177" s="9">
        <v>24995846.08</v>
      </c>
      <c r="D177" s="9">
        <v>28155617.74</v>
      </c>
      <c r="E177" s="9">
        <v>25919012.43</v>
      </c>
      <c r="F177" s="9">
        <v>24748266.37</v>
      </c>
      <c r="G177" s="10">
        <v>0.992185440710635</v>
      </c>
      <c r="H177" s="10">
        <v>0.972432053123776</v>
      </c>
      <c r="I177" s="10">
        <v>0.107773052938696</v>
      </c>
      <c r="J177" s="10"/>
      <c r="K177" s="11"/>
      <c r="L177" s="11"/>
      <c r="M177" s="11"/>
      <c r="N177" s="11"/>
      <c r="O177" s="9">
        <v>278759087.71</v>
      </c>
      <c r="P177" s="9">
        <v>25300788.36</v>
      </c>
      <c r="Q177" s="9">
        <v>23693885.98</v>
      </c>
      <c r="R177" s="9">
        <v>26294861.18</v>
      </c>
      <c r="S177" s="9">
        <v>24948337.93</v>
      </c>
      <c r="T177" s="10">
        <v>0.992185440710635</v>
      </c>
      <c r="U177" s="10">
        <v>0.972432053123776</v>
      </c>
      <c r="V177" s="10">
        <v>0.107773052938696</v>
      </c>
      <c r="W177" s="10"/>
      <c r="X177" s="11"/>
      <c r="Y177" s="11"/>
      <c r="Z177" s="11"/>
      <c r="AA177" s="11"/>
      <c r="AB177" s="9">
        <v>281448358.31</v>
      </c>
      <c r="AC177" s="9">
        <v>25965279.51</v>
      </c>
      <c r="AD177" s="9">
        <v>32404806.82</v>
      </c>
      <c r="AE177" s="9">
        <v>27214994.33</v>
      </c>
      <c r="AF177" s="9">
        <v>25570531.48</v>
      </c>
      <c r="AG177" s="10">
        <v>0.991966964864065</v>
      </c>
      <c r="AH177" s="10">
        <v>0.968155258581612</v>
      </c>
      <c r="AI177" s="10">
        <v>0.0996667947244601</v>
      </c>
      <c r="AJ177" s="10"/>
      <c r="AK177" s="11"/>
      <c r="AL177" s="11"/>
      <c r="AM177" s="11"/>
      <c r="AN177" s="11"/>
      <c r="AO177" s="9">
        <v>283546648.76</v>
      </c>
      <c r="AP177" s="9">
        <v>26846616.05</v>
      </c>
      <c r="AQ177" s="9">
        <v>30211203.34</v>
      </c>
      <c r="AR177" s="9">
        <v>29047946.18</v>
      </c>
      <c r="AS177" s="9">
        <v>25365158.92</v>
      </c>
      <c r="AT177" s="10">
        <v>0.843154367252083</v>
      </c>
      <c r="AU177" s="10">
        <v>0.85410141195796</v>
      </c>
      <c r="AV177" s="10">
        <v>0.087385168677359</v>
      </c>
      <c r="AW177" s="10"/>
      <c r="AX177" s="11"/>
      <c r="AY177" s="11"/>
      <c r="AZ177" s="11"/>
      <c r="BA177" s="11"/>
      <c r="BB177" s="9">
        <f t="shared" ref="BB177:BF177" si="240">SUM(B177,O177,)</f>
        <v>564653284</v>
      </c>
      <c r="BC177" s="9">
        <f t="shared" si="240"/>
        <v>50296634.44</v>
      </c>
      <c r="BD177" s="9">
        <f t="shared" si="240"/>
        <v>51849503.72</v>
      </c>
      <c r="BE177" s="9">
        <f t="shared" si="240"/>
        <v>52213873.61</v>
      </c>
      <c r="BF177" s="9">
        <f t="shared" si="240"/>
        <v>49696604.3</v>
      </c>
      <c r="BG177" s="10">
        <f t="shared" ref="BG177:BI177" si="241">AVERAGE(G177,T177,AT177,AG177)</f>
        <v>0.954873053384354</v>
      </c>
      <c r="BH177" s="10">
        <f t="shared" si="241"/>
        <v>0.941780194196781</v>
      </c>
      <c r="BI177" s="10">
        <f t="shared" si="241"/>
        <v>0.100649517319803</v>
      </c>
      <c r="BJ177" s="11"/>
      <c r="BK177" s="11"/>
      <c r="BL177" s="11"/>
      <c r="BM177" s="11"/>
      <c r="BN177" s="11"/>
    </row>
    <row r="178" s="1" customFormat="1" spans="1:66">
      <c r="A178" s="12" t="s">
        <v>188</v>
      </c>
      <c r="B178" s="12">
        <v>849899166.75</v>
      </c>
      <c r="C178" s="12">
        <v>71369663.66</v>
      </c>
      <c r="D178" s="12">
        <v>80339111.28</v>
      </c>
      <c r="E178" s="12">
        <v>80694859.4599999</v>
      </c>
      <c r="F178" s="12">
        <v>69893152.73</v>
      </c>
      <c r="G178" s="13">
        <v>0.95393331613468</v>
      </c>
      <c r="H178" s="13">
        <v>0.874838358528818</v>
      </c>
      <c r="I178" s="13">
        <v>0.0897629466869629</v>
      </c>
      <c r="J178" s="13"/>
      <c r="K178" s="11"/>
      <c r="L178" s="11"/>
      <c r="M178" s="11"/>
      <c r="N178" s="11"/>
      <c r="O178" s="12">
        <v>835543540.97</v>
      </c>
      <c r="P178" s="12">
        <v>71048359.96</v>
      </c>
      <c r="Q178" s="12">
        <v>65657445.01</v>
      </c>
      <c r="R178" s="12">
        <v>79760541.88</v>
      </c>
      <c r="S178" s="12">
        <v>68885970.56</v>
      </c>
      <c r="T178" s="13">
        <v>0.95393331613468</v>
      </c>
      <c r="U178" s="13">
        <v>0.874838358528818</v>
      </c>
      <c r="V178" s="13">
        <v>0.0897629466869629</v>
      </c>
      <c r="W178" s="13"/>
      <c r="X178" s="11"/>
      <c r="Y178" s="11"/>
      <c r="Z178" s="11"/>
      <c r="AA178" s="11"/>
      <c r="AB178" s="12">
        <v>851543407.54</v>
      </c>
      <c r="AC178" s="12">
        <v>72300455.25</v>
      </c>
      <c r="AD178" s="12">
        <v>84137788.67</v>
      </c>
      <c r="AE178" s="12">
        <v>79180939.33</v>
      </c>
      <c r="AF178" s="12">
        <v>68833804.64</v>
      </c>
      <c r="AG178" s="13">
        <v>0.927564409642367</v>
      </c>
      <c r="AH178" s="13">
        <v>0.878376642158146</v>
      </c>
      <c r="AI178" s="13">
        <v>0.084275804663221</v>
      </c>
      <c r="AJ178" s="13"/>
      <c r="AK178" s="11"/>
      <c r="AL178" s="11"/>
      <c r="AM178" s="11"/>
      <c r="AN178" s="11"/>
      <c r="AO178" s="12">
        <v>852191553.23</v>
      </c>
      <c r="AP178" s="12">
        <v>72456006.77</v>
      </c>
      <c r="AQ178" s="12">
        <v>74978294.72</v>
      </c>
      <c r="AR178" s="12">
        <v>80845091.07</v>
      </c>
      <c r="AS178" s="12">
        <v>65321446.58</v>
      </c>
      <c r="AT178" s="13">
        <v>0.85878675714389</v>
      </c>
      <c r="AU178" s="13">
        <v>0.809867263120414</v>
      </c>
      <c r="AV178" s="13">
        <v>0.0839382820109966</v>
      </c>
      <c r="AW178" s="13"/>
      <c r="AX178" s="11"/>
      <c r="AY178" s="11"/>
      <c r="AZ178" s="11"/>
      <c r="BA178" s="11"/>
      <c r="BB178" s="12">
        <v>849899166.75</v>
      </c>
      <c r="BC178" s="12">
        <v>71369663.66</v>
      </c>
      <c r="BD178" s="12">
        <v>80339111.28</v>
      </c>
      <c r="BE178" s="12">
        <v>80694859.4599999</v>
      </c>
      <c r="BF178" s="12">
        <v>69893152.73</v>
      </c>
      <c r="BG178" s="13">
        <v>0.95393331613468</v>
      </c>
      <c r="BH178" s="13">
        <v>0.874838358528818</v>
      </c>
      <c r="BI178" s="13">
        <v>0.0897629466869629</v>
      </c>
      <c r="BJ178" s="11"/>
      <c r="BK178" s="11"/>
      <c r="BL178" s="11"/>
      <c r="BM178" s="11"/>
      <c r="BN178" s="11"/>
    </row>
    <row r="179" s="1" customFormat="1" spans="1:66">
      <c r="A179" s="9" t="s">
        <v>189</v>
      </c>
      <c r="B179" s="9">
        <v>362363308.41</v>
      </c>
      <c r="C179" s="9">
        <v>29066271.0199999</v>
      </c>
      <c r="D179" s="9">
        <v>37906855.92</v>
      </c>
      <c r="E179" s="9">
        <v>33210115.3699999</v>
      </c>
      <c r="F179" s="9">
        <v>28096619.8099999</v>
      </c>
      <c r="G179" s="10">
        <v>0.981336685580088</v>
      </c>
      <c r="H179" s="10">
        <v>0.914446895520714</v>
      </c>
      <c r="I179" s="10">
        <v>0.0890937493902665</v>
      </c>
      <c r="J179" s="10"/>
      <c r="K179" s="11"/>
      <c r="L179" s="11"/>
      <c r="M179" s="11"/>
      <c r="N179" s="11"/>
      <c r="O179" s="9">
        <v>347133101.47</v>
      </c>
      <c r="P179" s="9">
        <v>28428803.9799999</v>
      </c>
      <c r="Q179" s="9">
        <v>26426146.4999999</v>
      </c>
      <c r="R179" s="9">
        <v>32345958.8599999</v>
      </c>
      <c r="S179" s="9">
        <v>27343378.7299999</v>
      </c>
      <c r="T179" s="10">
        <v>0.981336685580088</v>
      </c>
      <c r="U179" s="10">
        <v>0.914446895520714</v>
      </c>
      <c r="V179" s="10">
        <v>0.0890937493902665</v>
      </c>
      <c r="W179" s="10"/>
      <c r="X179" s="11"/>
      <c r="Y179" s="11"/>
      <c r="Z179" s="11"/>
      <c r="AA179" s="11"/>
      <c r="AB179" s="9">
        <v>358245551.22</v>
      </c>
      <c r="AC179" s="9">
        <v>28565014.03</v>
      </c>
      <c r="AD179" s="9">
        <v>35954656.3</v>
      </c>
      <c r="AE179" s="9">
        <v>31762727.52</v>
      </c>
      <c r="AF179" s="9">
        <v>27257958.77</v>
      </c>
      <c r="AG179" s="10">
        <v>0.958011818078233</v>
      </c>
      <c r="AH179" s="10">
        <v>0.920978796108407</v>
      </c>
      <c r="AI179" s="10">
        <v>0.0878479599620037</v>
      </c>
      <c r="AJ179" s="10"/>
      <c r="AK179" s="11"/>
      <c r="AL179" s="11"/>
      <c r="AM179" s="11"/>
      <c r="AN179" s="11"/>
      <c r="AO179" s="9">
        <v>359326806.7</v>
      </c>
      <c r="AP179" s="9">
        <v>28432929.1599999</v>
      </c>
      <c r="AQ179" s="9">
        <v>30684533.89</v>
      </c>
      <c r="AR179" s="9">
        <v>31971364.4599999</v>
      </c>
      <c r="AS179" s="9">
        <v>26785692.44</v>
      </c>
      <c r="AT179" s="10">
        <v>0.969386983907556</v>
      </c>
      <c r="AU179" s="10">
        <v>0.910152295963441</v>
      </c>
      <c r="AV179" s="10">
        <v>0.0893672615983586</v>
      </c>
      <c r="AW179" s="10"/>
      <c r="AX179" s="11"/>
      <c r="AY179" s="11"/>
      <c r="AZ179" s="11"/>
      <c r="BA179" s="11"/>
      <c r="BB179" s="9">
        <f t="shared" ref="BB179:BF179" si="242">SUM(B179,O179,)</f>
        <v>709496409.88</v>
      </c>
      <c r="BC179" s="9">
        <f t="shared" si="242"/>
        <v>57495074.9999998</v>
      </c>
      <c r="BD179" s="9">
        <f t="shared" si="242"/>
        <v>64333002.4199999</v>
      </c>
      <c r="BE179" s="9">
        <f t="shared" si="242"/>
        <v>65556074.2299998</v>
      </c>
      <c r="BF179" s="9">
        <f t="shared" si="242"/>
        <v>55439998.5399999</v>
      </c>
      <c r="BG179" s="10">
        <f t="shared" ref="BG179:BI179" si="243">AVERAGE(G179,T179,AT179,AG179)</f>
        <v>0.972518043286491</v>
      </c>
      <c r="BH179" s="10">
        <f t="shared" si="243"/>
        <v>0.915006220778319</v>
      </c>
      <c r="BI179" s="10">
        <f t="shared" si="243"/>
        <v>0.0888506800852238</v>
      </c>
      <c r="BJ179" s="11"/>
      <c r="BK179" s="11"/>
      <c r="BL179" s="11"/>
      <c r="BM179" s="11"/>
      <c r="BN179" s="11"/>
    </row>
    <row r="180" s="1" customFormat="1" spans="1:66">
      <c r="A180" s="9" t="s">
        <v>190</v>
      </c>
      <c r="B180" s="9">
        <v>471399160.22</v>
      </c>
      <c r="C180" s="9">
        <v>35938122.66</v>
      </c>
      <c r="D180" s="9">
        <v>39122968.81</v>
      </c>
      <c r="E180" s="9">
        <v>39648009.14</v>
      </c>
      <c r="F180" s="9">
        <v>35431769.12</v>
      </c>
      <c r="G180" s="10">
        <v>0.988941291922771</v>
      </c>
      <c r="H180" s="10">
        <v>0.936249346966545</v>
      </c>
      <c r="I180" s="10">
        <v>0.0802160539694815</v>
      </c>
      <c r="J180" s="10"/>
      <c r="K180" s="11"/>
      <c r="L180" s="11"/>
      <c r="M180" s="11"/>
      <c r="N180" s="11"/>
      <c r="O180" s="9">
        <v>455458949.78</v>
      </c>
      <c r="P180" s="9">
        <v>35479268.55</v>
      </c>
      <c r="Q180" s="9">
        <v>35355217.31</v>
      </c>
      <c r="R180" s="9">
        <v>39403093.13</v>
      </c>
      <c r="S180" s="9">
        <v>34736709.96</v>
      </c>
      <c r="T180" s="10">
        <v>0.988941291922771</v>
      </c>
      <c r="U180" s="10">
        <v>0.936249346966545</v>
      </c>
      <c r="V180" s="10">
        <v>0.0802160539694815</v>
      </c>
      <c r="W180" s="10"/>
      <c r="X180" s="11"/>
      <c r="Y180" s="11"/>
      <c r="Z180" s="11"/>
      <c r="AA180" s="11"/>
      <c r="AB180" s="9">
        <v>452767014.94</v>
      </c>
      <c r="AC180" s="9">
        <v>35849022.89</v>
      </c>
      <c r="AD180" s="9">
        <v>42915933.19</v>
      </c>
      <c r="AE180" s="9">
        <v>39974839.6</v>
      </c>
      <c r="AF180" s="9">
        <v>34937118.89</v>
      </c>
      <c r="AG180" s="10">
        <v>0.986499954122242</v>
      </c>
      <c r="AH180" s="10">
        <v>0.932314439610232</v>
      </c>
      <c r="AI180" s="10">
        <v>0.0813323058933756</v>
      </c>
      <c r="AJ180" s="10"/>
      <c r="AK180" s="11"/>
      <c r="AL180" s="11"/>
      <c r="AM180" s="11"/>
      <c r="AN180" s="11"/>
      <c r="AO180" s="9">
        <v>436665000.68</v>
      </c>
      <c r="AP180" s="9">
        <v>35749770.97</v>
      </c>
      <c r="AQ180" s="9">
        <v>37559116</v>
      </c>
      <c r="AR180" s="9">
        <v>40450880.28</v>
      </c>
      <c r="AS180" s="9">
        <v>32951153.38</v>
      </c>
      <c r="AT180" s="10">
        <v>0.79392393278276</v>
      </c>
      <c r="AU180" s="10">
        <v>0.735301832516043</v>
      </c>
      <c r="AV180" s="10">
        <v>0.085846137938121</v>
      </c>
      <c r="AW180" s="10"/>
      <c r="AX180" s="11"/>
      <c r="AY180" s="11"/>
      <c r="AZ180" s="11"/>
      <c r="BA180" s="11"/>
      <c r="BB180" s="9">
        <f t="shared" ref="BB180:BF180" si="244">SUM(B180,O180,)</f>
        <v>926858110</v>
      </c>
      <c r="BC180" s="9">
        <f t="shared" si="244"/>
        <v>71417391.21</v>
      </c>
      <c r="BD180" s="9">
        <f t="shared" si="244"/>
        <v>74478186.12</v>
      </c>
      <c r="BE180" s="9">
        <f t="shared" si="244"/>
        <v>79051102.27</v>
      </c>
      <c r="BF180" s="9">
        <f t="shared" si="244"/>
        <v>70168479.08</v>
      </c>
      <c r="BG180" s="10">
        <f t="shared" ref="BG180:BI180" si="245">AVERAGE(G180,T180,AT180,AG180)</f>
        <v>0.939576617687636</v>
      </c>
      <c r="BH180" s="10">
        <f t="shared" si="245"/>
        <v>0.885028741514841</v>
      </c>
      <c r="BI180" s="10">
        <f t="shared" si="245"/>
        <v>0.0819026379426149</v>
      </c>
      <c r="BJ180" s="11"/>
      <c r="BK180" s="11"/>
      <c r="BL180" s="11"/>
      <c r="BM180" s="11"/>
      <c r="BN180" s="11"/>
    </row>
    <row r="181" s="1" customFormat="1" spans="1:66">
      <c r="A181" s="12" t="s">
        <v>191</v>
      </c>
      <c r="B181" s="12">
        <v>833762468.63</v>
      </c>
      <c r="C181" s="12">
        <v>65004393.6799999</v>
      </c>
      <c r="D181" s="12">
        <v>77029824.73</v>
      </c>
      <c r="E181" s="12">
        <v>72858124.5099999</v>
      </c>
      <c r="F181" s="12">
        <v>63528388.9299999</v>
      </c>
      <c r="G181" s="13">
        <v>0.985385470641952</v>
      </c>
      <c r="H181" s="13">
        <v>0.926790411009838</v>
      </c>
      <c r="I181" s="13">
        <v>0.0833834065584182</v>
      </c>
      <c r="J181" s="13"/>
      <c r="K181" s="11"/>
      <c r="L181" s="11"/>
      <c r="M181" s="11"/>
      <c r="N181" s="11"/>
      <c r="O181" s="12">
        <v>802592051.25</v>
      </c>
      <c r="P181" s="12">
        <v>63908072.5299999</v>
      </c>
      <c r="Q181" s="12">
        <v>61781363.8099999</v>
      </c>
      <c r="R181" s="12">
        <v>71749051.9899999</v>
      </c>
      <c r="S181" s="12">
        <v>62080088.6899999</v>
      </c>
      <c r="T181" s="13">
        <v>0.985385470641952</v>
      </c>
      <c r="U181" s="13">
        <v>0.926790411009838</v>
      </c>
      <c r="V181" s="13">
        <v>0.0833834065584182</v>
      </c>
      <c r="W181" s="13"/>
      <c r="X181" s="11"/>
      <c r="Y181" s="11"/>
      <c r="Z181" s="11"/>
      <c r="AA181" s="11"/>
      <c r="AB181" s="12">
        <v>811012566.16</v>
      </c>
      <c r="AC181" s="12">
        <v>64414036.92</v>
      </c>
      <c r="AD181" s="12">
        <v>78870589.49</v>
      </c>
      <c r="AE181" s="12">
        <v>71737567.1199999</v>
      </c>
      <c r="AF181" s="12">
        <v>62195077.66</v>
      </c>
      <c r="AG181" s="13">
        <v>0.975572824187592</v>
      </c>
      <c r="AH181" s="13">
        <v>0.927725555560874</v>
      </c>
      <c r="AI181" s="13">
        <v>0.0832751613701461</v>
      </c>
      <c r="AJ181" s="13"/>
      <c r="AK181" s="11"/>
      <c r="AL181" s="11"/>
      <c r="AM181" s="11"/>
      <c r="AN181" s="11"/>
      <c r="AO181" s="12">
        <v>795991807.38</v>
      </c>
      <c r="AP181" s="12">
        <v>64182700.13</v>
      </c>
      <c r="AQ181" s="12">
        <v>68243649.89</v>
      </c>
      <c r="AR181" s="12">
        <v>72422244.7399999</v>
      </c>
      <c r="AS181" s="12">
        <v>59736845.8199999</v>
      </c>
      <c r="AT181" s="13">
        <v>0.85452982917881</v>
      </c>
      <c r="AU181" s="13">
        <v>0.796490819765194</v>
      </c>
      <c r="AV181" s="13">
        <v>0.0866159671057571</v>
      </c>
      <c r="AW181" s="13"/>
      <c r="AX181" s="11"/>
      <c r="AY181" s="11"/>
      <c r="AZ181" s="11"/>
      <c r="BA181" s="11"/>
      <c r="BB181" s="12">
        <v>833762468.63</v>
      </c>
      <c r="BC181" s="12">
        <v>65004393.6799999</v>
      </c>
      <c r="BD181" s="12">
        <v>77029824.73</v>
      </c>
      <c r="BE181" s="12">
        <v>72858124.5099999</v>
      </c>
      <c r="BF181" s="12">
        <v>63528388.9299999</v>
      </c>
      <c r="BG181" s="13">
        <v>0.985385470641952</v>
      </c>
      <c r="BH181" s="13">
        <v>0.926790411009838</v>
      </c>
      <c r="BI181" s="13">
        <v>0.0833834065584182</v>
      </c>
      <c r="BJ181" s="11"/>
      <c r="BK181" s="11"/>
      <c r="BL181" s="11"/>
      <c r="BM181" s="11"/>
      <c r="BN181" s="11"/>
    </row>
    <row r="182" s="1" customFormat="1" spans="1:66">
      <c r="A182" s="9" t="s">
        <v>192</v>
      </c>
      <c r="B182" s="9">
        <v>211878821.94</v>
      </c>
      <c r="C182" s="9">
        <v>18146906.4</v>
      </c>
      <c r="D182" s="9">
        <v>17646432.74</v>
      </c>
      <c r="E182" s="9">
        <v>23270123.6</v>
      </c>
      <c r="F182" s="9">
        <v>17140897.72</v>
      </c>
      <c r="G182" s="10">
        <v>0.962937159440688</v>
      </c>
      <c r="H182" s="10">
        <v>0.860331896403466</v>
      </c>
      <c r="I182" s="10">
        <v>0.0948555767721375</v>
      </c>
      <c r="J182" s="10"/>
      <c r="K182" s="11"/>
      <c r="L182" s="11"/>
      <c r="M182" s="11"/>
      <c r="N182" s="11"/>
      <c r="O182" s="9">
        <v>204511042.94</v>
      </c>
      <c r="P182" s="9">
        <v>18294773.11</v>
      </c>
      <c r="Q182" s="9">
        <v>16901029.77</v>
      </c>
      <c r="R182" s="9">
        <v>23299769.66</v>
      </c>
      <c r="S182" s="9">
        <v>16989453.1</v>
      </c>
      <c r="T182" s="10">
        <v>0.962937159440688</v>
      </c>
      <c r="U182" s="10">
        <v>0.860331896403466</v>
      </c>
      <c r="V182" s="10">
        <v>0.0948555767721375</v>
      </c>
      <c r="W182" s="10"/>
      <c r="X182" s="11"/>
      <c r="Y182" s="11"/>
      <c r="Z182" s="11"/>
      <c r="AA182" s="11"/>
      <c r="AB182" s="9">
        <v>209506050.03</v>
      </c>
      <c r="AC182" s="9">
        <v>18162911.97</v>
      </c>
      <c r="AD182" s="9">
        <v>20316497.12</v>
      </c>
      <c r="AE182" s="9">
        <v>20458470.06</v>
      </c>
      <c r="AF182" s="9">
        <v>16926923.88</v>
      </c>
      <c r="AG182" s="10">
        <v>0.964592207674648</v>
      </c>
      <c r="AH182" s="10">
        <v>0.91059003301984</v>
      </c>
      <c r="AI182" s="10">
        <v>0.0885486896232018</v>
      </c>
      <c r="AJ182" s="10"/>
      <c r="AK182" s="11"/>
      <c r="AL182" s="11"/>
      <c r="AM182" s="11"/>
      <c r="AN182" s="11"/>
      <c r="AO182" s="9">
        <v>222999799.32</v>
      </c>
      <c r="AP182" s="9">
        <v>18456804.95</v>
      </c>
      <c r="AQ182" s="9">
        <v>19476686.51</v>
      </c>
      <c r="AR182" s="9">
        <v>21496415.76</v>
      </c>
      <c r="AS182" s="9">
        <v>16952704.6</v>
      </c>
      <c r="AT182" s="10">
        <v>0.957068907282673</v>
      </c>
      <c r="AU182" s="10">
        <v>0.889514028104149</v>
      </c>
      <c r="AV182" s="10">
        <v>0.0848934775684422</v>
      </c>
      <c r="AW182" s="10"/>
      <c r="AX182" s="11"/>
      <c r="AY182" s="11"/>
      <c r="AZ182" s="11"/>
      <c r="BA182" s="11"/>
      <c r="BB182" s="9">
        <f t="shared" ref="BB182:BF182" si="246">SUM(B182,O182,)</f>
        <v>416389864.88</v>
      </c>
      <c r="BC182" s="9">
        <f t="shared" si="246"/>
        <v>36441679.51</v>
      </c>
      <c r="BD182" s="9">
        <f t="shared" si="246"/>
        <v>34547462.51</v>
      </c>
      <c r="BE182" s="9">
        <f t="shared" si="246"/>
        <v>46569893.26</v>
      </c>
      <c r="BF182" s="9">
        <f t="shared" si="246"/>
        <v>34130350.82</v>
      </c>
      <c r="BG182" s="10">
        <f t="shared" ref="BG182:BI182" si="247">AVERAGE(G182,T182,AT182,AG182)</f>
        <v>0.961883858459674</v>
      </c>
      <c r="BH182" s="10">
        <f t="shared" si="247"/>
        <v>0.88019196348273</v>
      </c>
      <c r="BI182" s="10">
        <f t="shared" si="247"/>
        <v>0.0907883301839797</v>
      </c>
      <c r="BJ182" s="11"/>
      <c r="BK182" s="11"/>
      <c r="BL182" s="11"/>
      <c r="BM182" s="11"/>
      <c r="BN182" s="11"/>
    </row>
    <row r="183" s="1" customFormat="1" spans="1:66">
      <c r="A183" s="9" t="s">
        <v>193</v>
      </c>
      <c r="B183" s="9">
        <v>302634554.08</v>
      </c>
      <c r="C183" s="9">
        <v>25837662.75</v>
      </c>
      <c r="D183" s="9">
        <v>24020315.74</v>
      </c>
      <c r="E183" s="9">
        <v>28658678.45</v>
      </c>
      <c r="F183" s="9">
        <v>24816134.57</v>
      </c>
      <c r="G183" s="10">
        <v>0.976218878952237</v>
      </c>
      <c r="H183" s="10">
        <v>0.895237166847458</v>
      </c>
      <c r="I183" s="10">
        <v>0.107434683255622</v>
      </c>
      <c r="J183" s="10"/>
      <c r="K183" s="11"/>
      <c r="L183" s="11"/>
      <c r="M183" s="11"/>
      <c r="N183" s="11"/>
      <c r="O183" s="9">
        <v>298113741.56</v>
      </c>
      <c r="P183" s="9">
        <v>26363988.39</v>
      </c>
      <c r="Q183" s="9">
        <v>24458779.35</v>
      </c>
      <c r="R183" s="9">
        <v>29566505.99</v>
      </c>
      <c r="S183" s="9">
        <v>25509960.19</v>
      </c>
      <c r="T183" s="10">
        <v>0.976218878952237</v>
      </c>
      <c r="U183" s="10">
        <v>0.895237166847458</v>
      </c>
      <c r="V183" s="10">
        <v>0.107434683255622</v>
      </c>
      <c r="W183" s="10"/>
      <c r="X183" s="11"/>
      <c r="Y183" s="11"/>
      <c r="Z183" s="11"/>
      <c r="AA183" s="11"/>
      <c r="AB183" s="9">
        <v>300902415.43</v>
      </c>
      <c r="AC183" s="9">
        <v>27011496.68</v>
      </c>
      <c r="AD183" s="9">
        <v>32003796.76</v>
      </c>
      <c r="AE183" s="9">
        <v>30395152.39</v>
      </c>
      <c r="AF183" s="9">
        <v>25752680.14</v>
      </c>
      <c r="AG183" s="10">
        <v>0.965940400378835</v>
      </c>
      <c r="AH183" s="10">
        <v>0.886307437101101</v>
      </c>
      <c r="AI183" s="10">
        <v>0.113138224754823</v>
      </c>
      <c r="AJ183" s="10"/>
      <c r="AK183" s="11"/>
      <c r="AL183" s="11"/>
      <c r="AM183" s="11"/>
      <c r="AN183" s="11"/>
      <c r="AO183" s="9">
        <v>304294660.82</v>
      </c>
      <c r="AP183" s="9">
        <v>26254389.45</v>
      </c>
      <c r="AQ183" s="9">
        <v>33692768.21</v>
      </c>
      <c r="AR183" s="9">
        <v>30077308.6</v>
      </c>
      <c r="AS183" s="9">
        <v>22764600.33</v>
      </c>
      <c r="AT183" s="10">
        <v>0.758562125711932</v>
      </c>
      <c r="AU183" s="10">
        <v>0.674117528252173</v>
      </c>
      <c r="AV183" s="10">
        <v>0.0910857979885545</v>
      </c>
      <c r="AW183" s="10"/>
      <c r="AX183" s="11"/>
      <c r="AY183" s="11"/>
      <c r="AZ183" s="11"/>
      <c r="BA183" s="11"/>
      <c r="BB183" s="9">
        <f t="shared" ref="BB183:BF183" si="248">SUM(B183,O183,)</f>
        <v>600748295.64</v>
      </c>
      <c r="BC183" s="9">
        <f t="shared" si="248"/>
        <v>52201651.14</v>
      </c>
      <c r="BD183" s="9">
        <f t="shared" si="248"/>
        <v>48479095.09</v>
      </c>
      <c r="BE183" s="9">
        <f t="shared" si="248"/>
        <v>58225184.44</v>
      </c>
      <c r="BF183" s="9">
        <f t="shared" si="248"/>
        <v>50326094.76</v>
      </c>
      <c r="BG183" s="10">
        <f t="shared" ref="BG183:BI183" si="249">AVERAGE(G183,T183,AT183,AG183)</f>
        <v>0.91923507099881</v>
      </c>
      <c r="BH183" s="10">
        <f t="shared" si="249"/>
        <v>0.837724824762048</v>
      </c>
      <c r="BI183" s="10">
        <f t="shared" si="249"/>
        <v>0.104773347313655</v>
      </c>
      <c r="BJ183" s="11"/>
      <c r="BK183" s="11"/>
      <c r="BL183" s="11"/>
      <c r="BM183" s="11"/>
      <c r="BN183" s="11"/>
    </row>
    <row r="184" s="1" customFormat="1" spans="1:66">
      <c r="A184" s="12" t="s">
        <v>194</v>
      </c>
      <c r="B184" s="12">
        <v>514513376.02</v>
      </c>
      <c r="C184" s="12">
        <v>43984569.15</v>
      </c>
      <c r="D184" s="12">
        <v>41666748.48</v>
      </c>
      <c r="E184" s="12">
        <v>51928802.05</v>
      </c>
      <c r="F184" s="12">
        <v>41957032.29</v>
      </c>
      <c r="G184" s="13">
        <v>0.969107376419719</v>
      </c>
      <c r="H184" s="13">
        <v>0.870784589689535</v>
      </c>
      <c r="I184" s="13">
        <v>0.105166687813079</v>
      </c>
      <c r="J184" s="13"/>
      <c r="K184" s="11"/>
      <c r="L184" s="11"/>
      <c r="M184" s="11"/>
      <c r="N184" s="11"/>
      <c r="O184" s="12">
        <v>502624784.5</v>
      </c>
      <c r="P184" s="12">
        <v>44658761.5</v>
      </c>
      <c r="Q184" s="12">
        <v>41359809.12</v>
      </c>
      <c r="R184" s="12">
        <v>52866275.65</v>
      </c>
      <c r="S184" s="12">
        <v>42499413.29</v>
      </c>
      <c r="T184" s="13">
        <v>0.969107376419719</v>
      </c>
      <c r="U184" s="13">
        <v>0.870784589689535</v>
      </c>
      <c r="V184" s="13">
        <v>0.105166687813079</v>
      </c>
      <c r="W184" s="13"/>
      <c r="X184" s="11"/>
      <c r="Y184" s="11"/>
      <c r="Z184" s="11"/>
      <c r="AA184" s="11"/>
      <c r="AB184" s="12">
        <v>510408465.46</v>
      </c>
      <c r="AC184" s="12">
        <v>45174408.65</v>
      </c>
      <c r="AD184" s="12">
        <v>52320293.88</v>
      </c>
      <c r="AE184" s="12">
        <v>50853622.45</v>
      </c>
      <c r="AF184" s="12">
        <v>42679604.02</v>
      </c>
      <c r="AG184" s="13">
        <v>0.963445947191863</v>
      </c>
      <c r="AH184" s="13">
        <v>0.889296109913638</v>
      </c>
      <c r="AI184" s="13">
        <v>0.106029493774132</v>
      </c>
      <c r="AJ184" s="13"/>
      <c r="AK184" s="11"/>
      <c r="AL184" s="11"/>
      <c r="AM184" s="11"/>
      <c r="AN184" s="11"/>
      <c r="AO184" s="12">
        <v>527294460.14</v>
      </c>
      <c r="AP184" s="12">
        <v>44711194.4</v>
      </c>
      <c r="AQ184" s="12">
        <v>53169454.72</v>
      </c>
      <c r="AR184" s="12">
        <v>51573724.36</v>
      </c>
      <c r="AS184" s="12">
        <v>39717304.93</v>
      </c>
      <c r="AT184" s="13">
        <v>0.83522955325945</v>
      </c>
      <c r="AU184" s="13">
        <v>0.752557922662462</v>
      </c>
      <c r="AV184" s="13">
        <v>0.0886136575027551</v>
      </c>
      <c r="AW184" s="13"/>
      <c r="AX184" s="11"/>
      <c r="AY184" s="11"/>
      <c r="AZ184" s="11"/>
      <c r="BA184" s="11"/>
      <c r="BB184" s="12">
        <v>514513376.02</v>
      </c>
      <c r="BC184" s="12">
        <v>43984569.15</v>
      </c>
      <c r="BD184" s="12">
        <v>41666748.48</v>
      </c>
      <c r="BE184" s="12">
        <v>51928802.05</v>
      </c>
      <c r="BF184" s="12">
        <v>41957032.29</v>
      </c>
      <c r="BG184" s="13">
        <v>0.969107376419719</v>
      </c>
      <c r="BH184" s="13">
        <v>0.870784589689535</v>
      </c>
      <c r="BI184" s="13">
        <v>0.105166687813079</v>
      </c>
      <c r="BJ184" s="11"/>
      <c r="BK184" s="11"/>
      <c r="BL184" s="11"/>
      <c r="BM184" s="11"/>
      <c r="BN184" s="11"/>
    </row>
    <row r="185" s="1" customFormat="1" spans="1:66">
      <c r="A185" s="14" t="s">
        <v>195</v>
      </c>
      <c r="B185" s="14">
        <v>2198175011.4</v>
      </c>
      <c r="C185" s="14">
        <v>180358626.49</v>
      </c>
      <c r="D185" s="14">
        <v>199035684.49</v>
      </c>
      <c r="E185" s="14">
        <v>205481786.02</v>
      </c>
      <c r="F185" s="14">
        <v>175378573.95</v>
      </c>
      <c r="G185" s="15">
        <v>0.965871542487832</v>
      </c>
      <c r="H185" s="15">
        <v>0.886687807785988</v>
      </c>
      <c r="I185" s="15">
        <v>0.0909096959938322</v>
      </c>
      <c r="J185" s="15"/>
      <c r="K185" s="11"/>
      <c r="L185" s="11"/>
      <c r="M185" s="11"/>
      <c r="N185" s="11"/>
      <c r="O185" s="14">
        <v>2140760376.72</v>
      </c>
      <c r="P185" s="14">
        <v>179615193.99</v>
      </c>
      <c r="Q185" s="14">
        <v>168798617.94</v>
      </c>
      <c r="R185" s="14">
        <v>204375869.52</v>
      </c>
      <c r="S185" s="14">
        <v>173465472.54</v>
      </c>
      <c r="T185" s="15">
        <v>0.965871542487832</v>
      </c>
      <c r="U185" s="15">
        <v>0.886687807785988</v>
      </c>
      <c r="V185" s="15">
        <v>0.0909096959938322</v>
      </c>
      <c r="W185" s="15"/>
      <c r="X185" s="11"/>
      <c r="Y185" s="11"/>
      <c r="Z185" s="11"/>
      <c r="AA185" s="11"/>
      <c r="AB185" s="14">
        <v>2172964439.16</v>
      </c>
      <c r="AC185" s="14">
        <v>181888900.82</v>
      </c>
      <c r="AD185" s="14">
        <v>215328672.04</v>
      </c>
      <c r="AE185" s="14">
        <v>201772128.9</v>
      </c>
      <c r="AF185" s="14">
        <v>173708486.32</v>
      </c>
      <c r="AG185" s="15">
        <v>0.949666299432902</v>
      </c>
      <c r="AH185" s="15">
        <v>0.893895882765701</v>
      </c>
      <c r="AI185" s="15">
        <v>0.0877246929448612</v>
      </c>
      <c r="AJ185" s="15"/>
      <c r="AK185" s="11"/>
      <c r="AL185" s="11"/>
      <c r="AM185" s="11"/>
      <c r="AN185" s="11"/>
      <c r="AO185" s="14">
        <v>2175477820.75</v>
      </c>
      <c r="AP185" s="14">
        <v>181349901.3</v>
      </c>
      <c r="AQ185" s="14">
        <v>196391399.33</v>
      </c>
      <c r="AR185" s="14">
        <v>204841060.17</v>
      </c>
      <c r="AS185" s="14">
        <v>164775597.33</v>
      </c>
      <c r="AT185" s="15">
        <v>0.853871828436306</v>
      </c>
      <c r="AU185" s="15">
        <v>0.79491489713937</v>
      </c>
      <c r="AV185" s="15">
        <v>0.0850622024465994</v>
      </c>
      <c r="AW185" s="15"/>
      <c r="AX185" s="11"/>
      <c r="AY185" s="11"/>
      <c r="AZ185" s="11"/>
      <c r="BA185" s="11"/>
      <c r="BB185" s="14">
        <v>2198175011.4</v>
      </c>
      <c r="BC185" s="14">
        <v>180358626.49</v>
      </c>
      <c r="BD185" s="14">
        <v>199035684.49</v>
      </c>
      <c r="BE185" s="14">
        <v>205481786.02</v>
      </c>
      <c r="BF185" s="14">
        <v>175378573.95</v>
      </c>
      <c r="BG185" s="15">
        <v>0.965871542487832</v>
      </c>
      <c r="BH185" s="15">
        <v>0.886687807785988</v>
      </c>
      <c r="BI185" s="15">
        <v>0.0909096959938322</v>
      </c>
      <c r="BJ185" s="11"/>
      <c r="BK185" s="11"/>
      <c r="BL185" s="11"/>
      <c r="BM185" s="11"/>
      <c r="BN185" s="11"/>
    </row>
    <row r="186" s="1" customFormat="1" spans="1:66">
      <c r="A186" s="16" t="s">
        <v>196</v>
      </c>
      <c r="B186" s="16">
        <v>5251893511.54</v>
      </c>
      <c r="C186" s="16">
        <v>408011616.44</v>
      </c>
      <c r="D186" s="16">
        <v>450928332.02</v>
      </c>
      <c r="E186" s="16">
        <v>468716349.91</v>
      </c>
      <c r="F186" s="16">
        <v>392302696.77</v>
      </c>
      <c r="G186" s="17">
        <v>0.96074147541172</v>
      </c>
      <c r="H186" s="17">
        <v>0.851843030619584</v>
      </c>
      <c r="I186" s="17">
        <v>0.0893138708324206</v>
      </c>
      <c r="J186" s="17"/>
      <c r="K186" s="11"/>
      <c r="L186" s="11"/>
      <c r="M186" s="11"/>
      <c r="N186" s="11"/>
      <c r="O186" s="16">
        <v>5192815212.26</v>
      </c>
      <c r="P186" s="16">
        <v>411603647.77</v>
      </c>
      <c r="Q186" s="16">
        <v>378322876.48</v>
      </c>
      <c r="R186" s="16">
        <v>477402311.2</v>
      </c>
      <c r="S186" s="16">
        <v>399632359.97</v>
      </c>
      <c r="T186" s="17">
        <v>0.96074147541172</v>
      </c>
      <c r="U186" s="17">
        <v>0.851843030619584</v>
      </c>
      <c r="V186" s="17">
        <v>0.0893138708324206</v>
      </c>
      <c r="W186" s="17"/>
      <c r="X186" s="11"/>
      <c r="Y186" s="11"/>
      <c r="Z186" s="11"/>
      <c r="AA186" s="11"/>
      <c r="AB186" s="16">
        <v>5208152067.04</v>
      </c>
      <c r="AC186" s="16">
        <v>417459489.41</v>
      </c>
      <c r="AD186" s="16">
        <v>484484637.77</v>
      </c>
      <c r="AE186" s="16">
        <v>476477433.26</v>
      </c>
      <c r="AF186" s="16">
        <v>398293034.04</v>
      </c>
      <c r="AG186" s="17">
        <v>0.939171691915804</v>
      </c>
      <c r="AH186" s="17">
        <v>0.846119193660464</v>
      </c>
      <c r="AI186" s="17">
        <v>0.0881506016599832</v>
      </c>
      <c r="AJ186" s="17"/>
      <c r="AK186" s="11"/>
      <c r="AL186" s="11"/>
      <c r="AM186" s="11"/>
      <c r="AN186" s="11"/>
      <c r="AO186" s="16">
        <v>5200957861.8</v>
      </c>
      <c r="AP186" s="16">
        <v>417940253.6</v>
      </c>
      <c r="AQ186" s="16">
        <v>450616817.2</v>
      </c>
      <c r="AR186" s="16">
        <v>484528196.11</v>
      </c>
      <c r="AS186" s="16">
        <v>373314392.84</v>
      </c>
      <c r="AT186" s="17">
        <v>0.867914883334935</v>
      </c>
      <c r="AU186" s="17">
        <v>0.765515779592136</v>
      </c>
      <c r="AV186" s="17">
        <v>0.0858178598697714</v>
      </c>
      <c r="AW186" s="17"/>
      <c r="AX186" s="11"/>
      <c r="AY186" s="11"/>
      <c r="AZ186" s="11"/>
      <c r="BA186" s="11"/>
      <c r="BB186" s="16">
        <v>5251893511.54</v>
      </c>
      <c r="BC186" s="16">
        <v>408011616.44</v>
      </c>
      <c r="BD186" s="16">
        <v>450928332.02</v>
      </c>
      <c r="BE186" s="16">
        <v>468716349.91</v>
      </c>
      <c r="BF186" s="16">
        <v>392302696.77</v>
      </c>
      <c r="BG186" s="17">
        <v>0.96074147541172</v>
      </c>
      <c r="BH186" s="17">
        <v>0.851843030619584</v>
      </c>
      <c r="BI186" s="17">
        <v>0.0893138708324206</v>
      </c>
      <c r="BJ186" s="11"/>
      <c r="BK186" s="11"/>
      <c r="BL186" s="11"/>
      <c r="BM186" s="11"/>
      <c r="BN186" s="11"/>
    </row>
    <row r="187" s="1" customFormat="1" spans="1:66">
      <c r="A187" s="18" t="s">
        <v>218</v>
      </c>
      <c r="B187" s="18">
        <v>49954961949.33</v>
      </c>
      <c r="C187" s="18">
        <v>3466102371.47</v>
      </c>
      <c r="D187" s="18">
        <v>3764292782.24</v>
      </c>
      <c r="E187" s="18">
        <v>4190669648.52</v>
      </c>
      <c r="F187" s="18">
        <v>3287527791.43</v>
      </c>
      <c r="G187" s="19">
        <v>0.978378828079003</v>
      </c>
      <c r="H187" s="19">
        <v>0.803955726896279</v>
      </c>
      <c r="I187" s="19">
        <v>0.0803230370012486</v>
      </c>
      <c r="J187" s="19"/>
      <c r="K187" s="11"/>
      <c r="L187" s="11"/>
      <c r="M187" s="11"/>
      <c r="N187" s="11"/>
      <c r="O187" s="18">
        <v>50073620628.91</v>
      </c>
      <c r="P187" s="18">
        <v>3522883589.33</v>
      </c>
      <c r="Q187" s="18">
        <v>3326164983.99</v>
      </c>
      <c r="R187" s="18">
        <v>4340864859.46</v>
      </c>
      <c r="S187" s="18">
        <v>3448995500.18</v>
      </c>
      <c r="T187" s="19">
        <v>0.978378828079003</v>
      </c>
      <c r="U187" s="19">
        <v>0.803955726896279</v>
      </c>
      <c r="V187" s="19">
        <v>0.0803230370012486</v>
      </c>
      <c r="W187" s="19"/>
      <c r="X187" s="11"/>
      <c r="Y187" s="11"/>
      <c r="Z187" s="11"/>
      <c r="AA187" s="11"/>
      <c r="AB187" s="18">
        <v>49300019376.93</v>
      </c>
      <c r="AC187" s="18">
        <v>3548586936.51</v>
      </c>
      <c r="AD187" s="18">
        <v>4247567043.39</v>
      </c>
      <c r="AE187" s="18">
        <v>4331429584.53</v>
      </c>
      <c r="AF187" s="18">
        <v>3432021273.1</v>
      </c>
      <c r="AG187" s="19">
        <v>0.957777573210666</v>
      </c>
      <c r="AH187" s="19">
        <v>0.793804601033647</v>
      </c>
      <c r="AI187" s="19">
        <v>0.0818289440769154</v>
      </c>
      <c r="AJ187" s="19"/>
      <c r="AK187" s="11"/>
      <c r="AL187" s="11"/>
      <c r="AM187" s="11"/>
      <c r="AN187" s="11"/>
      <c r="AO187" s="18">
        <v>50159537839.89</v>
      </c>
      <c r="AP187" s="18">
        <v>3608970954.18</v>
      </c>
      <c r="AQ187" s="18">
        <v>3739969060.65</v>
      </c>
      <c r="AR187" s="18">
        <v>4444743139.91</v>
      </c>
      <c r="AS187" s="18">
        <v>3334996467.1</v>
      </c>
      <c r="AT187" s="19">
        <v>0.901098990123075</v>
      </c>
      <c r="AU187" s="19">
        <v>0.73559268002455</v>
      </c>
      <c r="AV187" s="19">
        <v>0.082006760572524</v>
      </c>
      <c r="AW187" s="19"/>
      <c r="AX187" s="11"/>
      <c r="AY187" s="11"/>
      <c r="AZ187" s="11"/>
      <c r="BA187" s="11"/>
      <c r="BB187" s="18">
        <v>49954961949.33</v>
      </c>
      <c r="BC187" s="18">
        <v>3466102371.47</v>
      </c>
      <c r="BD187" s="18">
        <v>3764292782.24</v>
      </c>
      <c r="BE187" s="18">
        <v>4190669648.52</v>
      </c>
      <c r="BF187" s="18">
        <v>3287527791.43</v>
      </c>
      <c r="BG187" s="19">
        <v>0.978378828079003</v>
      </c>
      <c r="BH187" s="19">
        <v>0.803955726896279</v>
      </c>
      <c r="BI187" s="19">
        <v>0.0803230370012486</v>
      </c>
      <c r="BJ187" s="11"/>
      <c r="BK187" s="11"/>
      <c r="BL187" s="11"/>
      <c r="BM187" s="11"/>
      <c r="BN187" s="11"/>
    </row>
  </sheetData>
  <mergeCells count="5">
    <mergeCell ref="B1:N1"/>
    <mergeCell ref="O1:AA1"/>
    <mergeCell ref="AB1:AN1"/>
    <mergeCell ref="AO1:BA1"/>
    <mergeCell ref="BB1:B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 Size</vt:lpstr>
      <vt:lpstr>12 Months Portfolio</vt:lpstr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Hadoop</cp:lastModifiedBy>
  <dcterms:created xsi:type="dcterms:W3CDTF">2026-04-20T07:52:00Z</dcterms:created>
  <dcterms:modified xsi:type="dcterms:W3CDTF">2026-06-15T11:53:47Z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8FB4460003DB4AAC86BC03DEC8BB2C13_12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