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875" windowHeight="5975"/>
  </bookViews>
  <sheets>
    <sheet name="Sheet1" sheetId="1" r:id="rId1"/>
    <sheet name="Sheet2" sheetId="2" r:id="rId2"/>
  </sheets>
  <externalReferences>
    <externalReference r:id="rId3"/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<sst xmlns="http://schemas.openxmlformats.org/spreadsheetml/2006/main" count="111" uniqueCount="91">
  <si>
    <t>Below 10 Lac</t>
  </si>
  <si>
    <t>10–20 Lac</t>
  </si>
  <si>
    <t>Area/Territory/Region</t>
  </si>
  <si>
    <t>Collectable</t>
  </si>
  <si>
    <t>Collection</t>
  </si>
  <si>
    <t>Collectable vs Collection</t>
  </si>
  <si>
    <t>EMI</t>
  </si>
  <si>
    <t>EMI vs Collection</t>
  </si>
  <si>
    <t>Portfolio</t>
  </si>
  <si>
    <t>NPL</t>
  </si>
  <si>
    <t>NPL %</t>
  </si>
  <si>
    <t>PAR</t>
  </si>
  <si>
    <t>PAR %</t>
  </si>
  <si>
    <t>EMS vs Collection</t>
  </si>
  <si>
    <t>Ashulia</t>
  </si>
  <si>
    <t>DEPZ</t>
  </si>
  <si>
    <t>Tongi</t>
  </si>
  <si>
    <t>Dakshin</t>
  </si>
  <si>
    <t>Tongi Territory</t>
  </si>
  <si>
    <t>Gazipur</t>
  </si>
  <si>
    <t>Joydebpur</t>
  </si>
  <si>
    <t>Konabari</t>
  </si>
  <si>
    <t>Sreepur</t>
  </si>
  <si>
    <t>Kaliakair</t>
  </si>
  <si>
    <t>Gazipur Territory</t>
  </si>
  <si>
    <t>Gazipur Region</t>
  </si>
  <si>
    <t>Jamalpur</t>
  </si>
  <si>
    <t>Mymensingh</t>
  </si>
  <si>
    <t>Sherpur</t>
  </si>
  <si>
    <t>Mymensingh Territory</t>
  </si>
  <si>
    <t>Mymensingh Region</t>
  </si>
  <si>
    <t>Bheramara</t>
  </si>
  <si>
    <t>Chuadanga</t>
  </si>
  <si>
    <t>Jhenaidah</t>
  </si>
  <si>
    <t>Kushtia</t>
  </si>
  <si>
    <t>Kushtia Territory</t>
  </si>
  <si>
    <t>C. Nawabganj</t>
  </si>
  <si>
    <t>Rajshahi</t>
  </si>
  <si>
    <t>Rajshahi Territory</t>
  </si>
  <si>
    <t>Rajshahi Region</t>
  </si>
  <si>
    <t>Zone 2</t>
  </si>
  <si>
    <t>Total Small Business</t>
  </si>
  <si>
    <t>Last 12 Months</t>
  </si>
  <si>
    <t>Elephant Road</t>
  </si>
  <si>
    <t>Moghbazar</t>
  </si>
  <si>
    <t>Elephant Road Territory</t>
  </si>
  <si>
    <t>Badda</t>
  </si>
  <si>
    <t>Banasree</t>
  </si>
  <si>
    <t>Gulshan Territory</t>
  </si>
  <si>
    <t>Fatullah</t>
  </si>
  <si>
    <t>Narayangonj</t>
  </si>
  <si>
    <t>Shiddirgonj</t>
  </si>
  <si>
    <t>Narayangonj Territory</t>
  </si>
  <si>
    <t>Dhaka-1 Region</t>
  </si>
  <si>
    <t>Hasnabad</t>
  </si>
  <si>
    <t>Kamrangirchar</t>
  </si>
  <si>
    <t>Keranigonj</t>
  </si>
  <si>
    <t>Zinzira</t>
  </si>
  <si>
    <t>Keranigonj Territory</t>
  </si>
  <si>
    <t>Bhanga</t>
  </si>
  <si>
    <t>Faridpur</t>
  </si>
  <si>
    <t>Gopalgonj</t>
  </si>
  <si>
    <t>Rajbari</t>
  </si>
  <si>
    <t>Shariatpur</t>
  </si>
  <si>
    <t>Faridpur Territory</t>
  </si>
  <si>
    <t>Baligaon</t>
  </si>
  <si>
    <t>Nawabgonj</t>
  </si>
  <si>
    <t>Sreenagar</t>
  </si>
  <si>
    <t>Munshiganj Territory</t>
  </si>
  <si>
    <t>Faridpur Region</t>
  </si>
  <si>
    <t>Bharaib</t>
  </si>
  <si>
    <t>Kotiadi</t>
  </si>
  <si>
    <t>Kishoreganj</t>
  </si>
  <si>
    <t>Kishoreganj Territory</t>
  </si>
  <si>
    <t>Bhulta</t>
  </si>
  <si>
    <t>Narsingdi</t>
  </si>
  <si>
    <t>Narsingdi Territory</t>
  </si>
  <si>
    <t>Narsingdi Region</t>
  </si>
  <si>
    <t>Jessore</t>
  </si>
  <si>
    <t>Jikorgacha</t>
  </si>
  <si>
    <t>Keshobpur</t>
  </si>
  <si>
    <t>Magura</t>
  </si>
  <si>
    <t>Narail</t>
  </si>
  <si>
    <t>Jessore Territory</t>
  </si>
  <si>
    <t>Bagerhat</t>
  </si>
  <si>
    <t>Daulatpur</t>
  </si>
  <si>
    <t>Khulna</t>
  </si>
  <si>
    <t>Sathkhira</t>
  </si>
  <si>
    <t>Khulna Territory</t>
  </si>
  <si>
    <t>Khulna Region</t>
  </si>
  <si>
    <t>Zone 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</si>
</sst>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0.0%"/>
    <numFmt numFmtId="178" formatCode="_(* #,##0_);_(* \(#,##0\);_(* &quot;-&quot;??_);_(@_)"/>
  </numFmts>
  <fonts count="25">
    <font>
      <sz val="11"/>
      <color theme="1"/>
      <name val="Calibri"/>
      <charset val="134"/>
      <scheme val="minor"/>
    </font>
    <font>
      <b/>
      <sz val="10"/>
      <color theme="0"/>
      <name val="Arial"/>
      <charset val="134"/>
    </font>
    <font>
      <b/>
      <sz val="9"/>
      <name val="Calibri"/>
      <charset val="134"/>
      <scheme val="minor"/>
    </font>
    <font>
      <b/>
      <sz val="9"/>
      <color theme="0"/>
      <name val="Arial"/>
      <charset val="134"/>
    </font>
    <font>
      <sz val="9"/>
      <name val="Calibri"/>
      <charset val="134"/>
      <scheme val="minor"/>
    </font>
    <font>
      <sz val="9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753805"/>
        <bgColor theme="4" tint="0.79998168889431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1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49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77" fontId="3" fillId="2" borderId="1" xfId="3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43" fontId="4" fillId="0" borderId="2" xfId="49" applyFont="1" applyFill="1" applyBorder="1" applyAlignment="1">
      <alignment horizontal="left" vertical="center"/>
    </xf>
    <xf numFmtId="178" fontId="0" fillId="0" borderId="0" xfId="1" applyNumberFormat="1" applyFont="1" applyBorder="1" applyAlignment="1">
      <alignment horizontal="right"/>
    </xf>
    <xf numFmtId="177" fontId="5" fillId="0" borderId="0" xfId="3" applyNumberFormat="1" applyFont="1" applyBorder="1" applyAlignment="1">
      <alignment horizontal="right"/>
    </xf>
    <xf numFmtId="178" fontId="0" fillId="0" borderId="0" xfId="1" applyNumberFormat="1" applyFont="1" applyAlignment="1">
      <alignment horizontal="right"/>
    </xf>
    <xf numFmtId="177" fontId="5" fillId="0" borderId="0" xfId="3" applyNumberFormat="1" applyFont="1" applyAlignment="1">
      <alignment horizontal="right"/>
    </xf>
    <xf numFmtId="43" fontId="2" fillId="3" borderId="2" xfId="49" applyFont="1" applyFill="1" applyBorder="1" applyAlignment="1">
      <alignment horizontal="left" vertical="center"/>
    </xf>
    <xf numFmtId="178" fontId="2" fillId="3" borderId="2" xfId="1" applyNumberFormat="1" applyFont="1" applyFill="1" applyBorder="1" applyAlignment="1">
      <alignment horizontal="right" vertical="center"/>
    </xf>
    <xf numFmtId="177" fontId="2" fillId="3" borderId="2" xfId="3" applyNumberFormat="1" applyFont="1" applyFill="1" applyBorder="1" applyAlignment="1">
      <alignment horizontal="right" vertical="center"/>
    </xf>
    <xf numFmtId="43" fontId="2" fillId="4" borderId="2" xfId="49" applyFont="1" applyFill="1" applyBorder="1" applyAlignment="1">
      <alignment horizontal="left" vertical="center"/>
    </xf>
    <xf numFmtId="178" fontId="2" fillId="4" borderId="2" xfId="1" applyNumberFormat="1" applyFont="1" applyFill="1" applyBorder="1" applyAlignment="1">
      <alignment horizontal="right" vertical="center"/>
    </xf>
    <xf numFmtId="177" fontId="2" fillId="4" borderId="2" xfId="3" applyNumberFormat="1" applyFont="1" applyFill="1" applyBorder="1" applyAlignment="1">
      <alignment horizontal="right" vertical="center"/>
    </xf>
    <xf numFmtId="43" fontId="2" fillId="5" borderId="2" xfId="49" applyFont="1" applyFill="1" applyBorder="1" applyAlignment="1">
      <alignment horizontal="left" vertical="center"/>
    </xf>
    <xf numFmtId="178" fontId="2" fillId="5" borderId="2" xfId="1" applyNumberFormat="1" applyFont="1" applyFill="1" applyBorder="1" applyAlignment="1">
      <alignment horizontal="right" vertical="center"/>
    </xf>
    <xf numFmtId="177" fontId="2" fillId="5" borderId="2" xfId="3" applyNumberFormat="1" applyFont="1" applyFill="1" applyBorder="1" applyAlignment="1">
      <alignment horizontal="right" vertical="center"/>
    </xf>
    <xf numFmtId="43" fontId="2" fillId="6" borderId="2" xfId="49" applyFont="1" applyFill="1" applyBorder="1" applyAlignment="1">
      <alignment horizontal="left" vertical="center"/>
    </xf>
    <xf numFmtId="178" fontId="2" fillId="6" borderId="2" xfId="1" applyNumberFormat="1" applyFont="1" applyFill="1" applyBorder="1" applyAlignment="1">
      <alignment horizontal="right" vertical="center"/>
    </xf>
    <xf numFmtId="177" fontId="2" fillId="6" borderId="2" xfId="3" applyNumberFormat="1" applyFont="1" applyFill="1" applyBorder="1" applyAlignment="1">
      <alignment horizontal="right" vertical="center"/>
    </xf>
    <xf numFmtId="10" fontId="2" fillId="5" borderId="2" xfId="3" applyNumberFormat="1" applyFont="1" applyFill="1" applyBorder="1" applyAlignment="1">
      <alignment horizontal="right" vertical="center"/>
    </xf>
    <xf numFmtId="10" fontId="2" fillId="6" borderId="2" xfId="3" applyNumberFormat="1" applyFont="1" applyFill="1" applyBorder="1" applyAlignment="1">
      <alignment horizontal="right" vertical="center"/>
    </xf>
    <xf numFmtId="177" fontId="3" fillId="2" borderId="1" xfId="3" applyNumberFormat="1" applyFont="1" applyFill="1" applyBorder="1" applyAlignment="1">
      <alignment horizontal="right"/>
    </xf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177" fontId="3" fillId="7" borderId="1" xfId="3" applyNumberFormat="1" applyFont="1" applyFill="1" applyBorder="1" applyAlignment="1">
      <alignment horizontal="center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2026\Monthly%20Overdue%20Report%2031th-Mar'26_Working_Mai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2026\Under%20Writting\Monthly%20Overdue%20Report%2031th-Mar'26_WR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erritory &amp; Region"/>
      <sheetName val="Unit wise"/>
      <sheetName val="Area wise"/>
      <sheetName val="Sheet7"/>
      <sheetName val="Sheet9"/>
      <sheetName val="IB_Pivot"/>
      <sheetName val="Ticket Size Wise Details-IB"/>
      <sheetName val="FVL"/>
      <sheetName val="Sheet1"/>
      <sheetName val="Sheet2"/>
      <sheetName val="Sheet3"/>
      <sheetName val="IB"/>
      <sheetName val="Sheet5"/>
      <sheetName val="SB_Ticket Size Wise"/>
      <sheetName val="ticket_pivot"/>
      <sheetName val="Month Wise Details-WR"/>
      <sheetName val="Ticket Size Wise Details-SB"/>
      <sheetName val="NPL"/>
      <sheetName val="PAR"/>
      <sheetName val="Sheet12"/>
      <sheetName val="S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6">
          <cell r="A6" t="str">
            <v>Agailjhara</v>
          </cell>
          <cell r="B6">
            <v>5753023.32</v>
          </cell>
          <cell r="C6">
            <v>3244259.4</v>
          </cell>
          <cell r="D6">
            <v>3193335.61</v>
          </cell>
          <cell r="E6">
            <v>10189538.62</v>
          </cell>
          <cell r="F6">
            <v>7636415.9</v>
          </cell>
          <cell r="G6">
            <v>7615248.16</v>
          </cell>
          <cell r="H6">
            <v>10137709.68</v>
          </cell>
          <cell r="I6">
            <v>7150614.32</v>
          </cell>
          <cell r="J6">
            <v>7063490.79</v>
          </cell>
          <cell r="K6">
            <v>5527033.73</v>
          </cell>
          <cell r="L6">
            <v>3989024.15</v>
          </cell>
          <cell r="M6">
            <v>3985370.71</v>
          </cell>
          <cell r="N6">
            <v>1472753.13</v>
          </cell>
          <cell r="O6">
            <v>1473805.98</v>
          </cell>
          <cell r="P6">
            <v>1472753.13</v>
          </cell>
          <cell r="Q6">
            <v>1403840.25</v>
          </cell>
          <cell r="R6">
            <v>1405659.71</v>
          </cell>
          <cell r="S6">
            <v>1403840.25</v>
          </cell>
          <cell r="T6">
            <v>34483898.73</v>
          </cell>
          <cell r="U6">
            <v>24899779.46</v>
          </cell>
          <cell r="V6">
            <v>24734038.65</v>
          </cell>
        </row>
        <row r="7">
          <cell r="A7" t="str">
            <v>Ambarkhana</v>
          </cell>
          <cell r="B7">
            <v>7506049.04</v>
          </cell>
          <cell r="C7">
            <v>5245125.31</v>
          </cell>
          <cell r="D7">
            <v>5056067.67</v>
          </cell>
          <cell r="E7">
            <v>15686989.03</v>
          </cell>
          <cell r="F7">
            <v>13714128.05</v>
          </cell>
          <cell r="G7">
            <v>13535566.66</v>
          </cell>
          <cell r="H7">
            <v>3345236.6</v>
          </cell>
          <cell r="I7">
            <v>3225626.1</v>
          </cell>
          <cell r="J7">
            <v>3222828.82</v>
          </cell>
          <cell r="K7">
            <v>0</v>
          </cell>
        </row>
        <row r="7">
          <cell r="M7">
            <v>0</v>
          </cell>
        </row>
        <row r="7">
          <cell r="Q7">
            <v>512664.45</v>
          </cell>
          <cell r="R7">
            <v>512664.45</v>
          </cell>
          <cell r="S7">
            <v>512664.45</v>
          </cell>
          <cell r="T7">
            <v>27050939.12</v>
          </cell>
          <cell r="U7">
            <v>22697543.91</v>
          </cell>
          <cell r="V7">
            <v>22327127.6</v>
          </cell>
        </row>
        <row r="8">
          <cell r="A8" t="str">
            <v>Anderkilla</v>
          </cell>
          <cell r="B8">
            <v>957688.51</v>
          </cell>
          <cell r="C8">
            <v>27732.26</v>
          </cell>
          <cell r="D8">
            <v>27732.26</v>
          </cell>
          <cell r="E8">
            <v>21024593.86</v>
          </cell>
          <cell r="F8">
            <v>8275343.63</v>
          </cell>
          <cell r="G8">
            <v>7848176.42</v>
          </cell>
          <cell r="H8">
            <v>37715077.04</v>
          </cell>
          <cell r="I8">
            <v>17925015.12</v>
          </cell>
          <cell r="J8">
            <v>17332455.37</v>
          </cell>
          <cell r="K8">
            <v>4143022.48</v>
          </cell>
          <cell r="L8">
            <v>3914124.7</v>
          </cell>
          <cell r="M8">
            <v>3900928.66</v>
          </cell>
          <cell r="N8">
            <v>2138241.3</v>
          </cell>
          <cell r="O8">
            <v>2141292.92</v>
          </cell>
          <cell r="P8">
            <v>2138241.3</v>
          </cell>
          <cell r="Q8">
            <v>5703642.01</v>
          </cell>
          <cell r="R8">
            <v>5478380.9</v>
          </cell>
          <cell r="S8">
            <v>5119287.72</v>
          </cell>
          <cell r="T8">
            <v>71682265.2</v>
          </cell>
          <cell r="U8">
            <v>37761889.53</v>
          </cell>
          <cell r="V8">
            <v>36366821.73</v>
          </cell>
        </row>
        <row r="9">
          <cell r="A9" t="str">
            <v>Ashulia</v>
          </cell>
          <cell r="B9">
            <v>564045.73</v>
          </cell>
          <cell r="C9">
            <v>169675.05</v>
          </cell>
          <cell r="D9">
            <v>169465.23</v>
          </cell>
          <cell r="E9">
            <v>5816029.83</v>
          </cell>
          <cell r="F9">
            <v>3776910.19</v>
          </cell>
          <cell r="G9">
            <v>3744744.23</v>
          </cell>
          <cell r="H9">
            <v>10933588.05</v>
          </cell>
          <cell r="I9">
            <v>6838451.3</v>
          </cell>
          <cell r="J9">
            <v>6664874.62</v>
          </cell>
          <cell r="K9">
            <v>1419963.85</v>
          </cell>
          <cell r="L9">
            <v>1420367.95</v>
          </cell>
          <cell r="M9">
            <v>1419963.85</v>
          </cell>
          <cell r="N9">
            <v>1510681.7</v>
          </cell>
          <cell r="O9">
            <v>1572284.69</v>
          </cell>
          <cell r="P9">
            <v>1368688.46</v>
          </cell>
          <cell r="Q9">
            <v>5765820.49</v>
          </cell>
          <cell r="R9">
            <v>5495581.07</v>
          </cell>
          <cell r="S9">
            <v>4952848</v>
          </cell>
          <cell r="T9">
            <v>26010129.65</v>
          </cell>
          <cell r="U9">
            <v>19273270.25</v>
          </cell>
          <cell r="V9">
            <v>18320584.39</v>
          </cell>
        </row>
        <row r="10">
          <cell r="A10" t="str">
            <v>Badda</v>
          </cell>
          <cell r="B10">
            <v>1489164.67</v>
          </cell>
          <cell r="C10">
            <v>515517.2</v>
          </cell>
          <cell r="D10">
            <v>452821.96</v>
          </cell>
          <cell r="E10">
            <v>11745644.94</v>
          </cell>
          <cell r="F10">
            <v>8173884.85</v>
          </cell>
          <cell r="G10">
            <v>7882054.14</v>
          </cell>
          <cell r="H10">
            <v>20957343.7</v>
          </cell>
          <cell r="I10">
            <v>16935305.95</v>
          </cell>
          <cell r="J10">
            <v>16405838.12</v>
          </cell>
          <cell r="K10">
            <v>5389095.08</v>
          </cell>
          <cell r="L10">
            <v>4590894</v>
          </cell>
          <cell r="M10">
            <v>4302221.39</v>
          </cell>
          <cell r="N10">
            <v>3770399.17</v>
          </cell>
          <cell r="O10">
            <v>3165166.56</v>
          </cell>
          <cell r="P10">
            <v>3101735.56</v>
          </cell>
          <cell r="Q10">
            <v>6045660.97</v>
          </cell>
          <cell r="R10">
            <v>4487289.34</v>
          </cell>
          <cell r="S10">
            <v>3157748.77</v>
          </cell>
          <cell r="T10">
            <v>49397308.53</v>
          </cell>
          <cell r="U10">
            <v>37868057.9</v>
          </cell>
          <cell r="V10">
            <v>35302419.94</v>
          </cell>
        </row>
        <row r="11">
          <cell r="A11" t="str">
            <v>Bagerhat</v>
          </cell>
          <cell r="B11">
            <v>4133402.97</v>
          </cell>
          <cell r="C11">
            <v>2305029.77</v>
          </cell>
          <cell r="D11">
            <v>2184615.71</v>
          </cell>
          <cell r="E11">
            <v>13305553.78</v>
          </cell>
          <cell r="F11">
            <v>10053389.56</v>
          </cell>
          <cell r="G11">
            <v>9686377.09</v>
          </cell>
          <cell r="H11">
            <v>6546847.37</v>
          </cell>
          <cell r="I11">
            <v>5885178.42</v>
          </cell>
          <cell r="J11">
            <v>5703703.23</v>
          </cell>
          <cell r="K11">
            <v>237473.06</v>
          </cell>
          <cell r="L11">
            <v>237761.31</v>
          </cell>
          <cell r="M11">
            <v>237473.06</v>
          </cell>
        </row>
        <row r="11">
          <cell r="Q11">
            <v>418170.32</v>
          </cell>
          <cell r="R11">
            <v>418170.32</v>
          </cell>
          <cell r="S11">
            <v>418170.32</v>
          </cell>
          <cell r="T11">
            <v>24641447.5</v>
          </cell>
          <cell r="U11">
            <v>18899529.38</v>
          </cell>
          <cell r="V11">
            <v>18230339.41</v>
          </cell>
        </row>
        <row r="12">
          <cell r="A12" t="str">
            <v>Baligaon</v>
          </cell>
          <cell r="B12">
            <v>2788558.28</v>
          </cell>
          <cell r="C12">
            <v>2486188.39</v>
          </cell>
          <cell r="D12">
            <v>2470212.18</v>
          </cell>
          <cell r="E12">
            <v>15324269.73</v>
          </cell>
          <cell r="F12">
            <v>13959256.79</v>
          </cell>
          <cell r="G12">
            <v>13871747.72</v>
          </cell>
          <cell r="H12">
            <v>1692554.69</v>
          </cell>
          <cell r="I12">
            <v>1567532.4</v>
          </cell>
          <cell r="J12">
            <v>1564939.81</v>
          </cell>
        </row>
        <row r="12">
          <cell r="T12">
            <v>19805382.7</v>
          </cell>
          <cell r="U12">
            <v>18012977.58</v>
          </cell>
          <cell r="V12">
            <v>17906899.71</v>
          </cell>
        </row>
        <row r="13">
          <cell r="A13" t="str">
            <v>Banasree</v>
          </cell>
          <cell r="B13">
            <v>965304.02</v>
          </cell>
          <cell r="C13">
            <v>541897.95</v>
          </cell>
          <cell r="D13">
            <v>428639.34</v>
          </cell>
          <cell r="E13">
            <v>14599720.46</v>
          </cell>
          <cell r="F13">
            <v>7835222.75</v>
          </cell>
          <cell r="G13">
            <v>7381949.95</v>
          </cell>
          <cell r="H13">
            <v>18152000.89</v>
          </cell>
          <cell r="I13">
            <v>14162009.69</v>
          </cell>
          <cell r="J13">
            <v>13666442.82</v>
          </cell>
          <cell r="K13">
            <v>10421116.89</v>
          </cell>
          <cell r="L13">
            <v>5594668.91</v>
          </cell>
          <cell r="M13">
            <v>5189266.72</v>
          </cell>
          <cell r="N13">
            <v>6971632.4</v>
          </cell>
          <cell r="O13">
            <v>5960877.25</v>
          </cell>
          <cell r="P13">
            <v>5958998.89</v>
          </cell>
          <cell r="Q13">
            <v>4094979.03</v>
          </cell>
          <cell r="R13">
            <v>4124813.94</v>
          </cell>
          <cell r="S13">
            <v>4094979.03</v>
          </cell>
          <cell r="T13">
            <v>55204753.69</v>
          </cell>
          <cell r="U13">
            <v>38219490.49</v>
          </cell>
          <cell r="V13">
            <v>36720276.75</v>
          </cell>
        </row>
        <row r="14">
          <cell r="A14" t="str">
            <v>Bancharampur</v>
          </cell>
          <cell r="B14">
            <v>5641670.32</v>
          </cell>
          <cell r="C14">
            <v>4982489.06</v>
          </cell>
          <cell r="D14">
            <v>4936328.28</v>
          </cell>
          <cell r="E14">
            <v>14027723.84</v>
          </cell>
          <cell r="F14">
            <v>11865702.2</v>
          </cell>
          <cell r="G14">
            <v>11797126.34</v>
          </cell>
          <cell r="H14">
            <v>1131703.61</v>
          </cell>
          <cell r="I14">
            <v>1131850.99</v>
          </cell>
          <cell r="J14">
            <v>1131703.61</v>
          </cell>
        </row>
        <row r="14">
          <cell r="T14">
            <v>20801097.77</v>
          </cell>
          <cell r="U14">
            <v>17980042.25</v>
          </cell>
          <cell r="V14">
            <v>17865158.23</v>
          </cell>
        </row>
        <row r="15">
          <cell r="A15" t="str">
            <v>Bandartila </v>
          </cell>
          <cell r="B15">
            <v>1841950</v>
          </cell>
          <cell r="C15">
            <v>911860.9</v>
          </cell>
          <cell r="D15">
            <v>910939.76</v>
          </cell>
          <cell r="E15">
            <v>13418213.37</v>
          </cell>
          <cell r="F15">
            <v>9225886.01000001</v>
          </cell>
          <cell r="G15">
            <v>8879000.42</v>
          </cell>
          <cell r="H15">
            <v>7668577.04</v>
          </cell>
          <cell r="I15">
            <v>3197872.13</v>
          </cell>
          <cell r="J15">
            <v>2841025.83</v>
          </cell>
          <cell r="K15">
            <v>3252343.16</v>
          </cell>
          <cell r="L15">
            <v>779519.27</v>
          </cell>
          <cell r="M15">
            <v>474284.62</v>
          </cell>
          <cell r="N15">
            <v>1317677.52</v>
          </cell>
          <cell r="O15">
            <v>572132.95</v>
          </cell>
          <cell r="P15">
            <v>285674.87</v>
          </cell>
          <cell r="Q15">
            <v>739054.8</v>
          </cell>
          <cell r="R15">
            <v>739054.8</v>
          </cell>
          <cell r="S15">
            <v>739054.8</v>
          </cell>
          <cell r="T15">
            <v>28237815.89</v>
          </cell>
          <cell r="U15">
            <v>15426326.06</v>
          </cell>
          <cell r="V15">
            <v>14129980.3</v>
          </cell>
        </row>
        <row r="16">
          <cell r="A16" t="str">
            <v>Barguna</v>
          </cell>
          <cell r="B16">
            <v>4091487.03</v>
          </cell>
          <cell r="C16">
            <v>2651776.56</v>
          </cell>
          <cell r="D16">
            <v>2646586.76</v>
          </cell>
          <cell r="E16">
            <v>12630918.26</v>
          </cell>
          <cell r="F16">
            <v>8480023.48</v>
          </cell>
          <cell r="G16">
            <v>8174163.73</v>
          </cell>
          <cell r="H16">
            <v>6034994.82</v>
          </cell>
          <cell r="I16">
            <v>5635922.41</v>
          </cell>
          <cell r="J16">
            <v>5376589.64</v>
          </cell>
          <cell r="K16">
            <v>1100012.72</v>
          </cell>
          <cell r="L16">
            <v>1101432.24</v>
          </cell>
          <cell r="M16">
            <v>1100012.72</v>
          </cell>
          <cell r="N16">
            <v>1017590.41</v>
          </cell>
          <cell r="O16">
            <v>564048.57</v>
          </cell>
          <cell r="P16">
            <v>564048.57</v>
          </cell>
        </row>
        <row r="16">
          <cell r="T16">
            <v>24875003.24</v>
          </cell>
          <cell r="U16">
            <v>18433203.26</v>
          </cell>
          <cell r="V16">
            <v>17861401.42</v>
          </cell>
        </row>
        <row r="17">
          <cell r="A17" t="str">
            <v>Barishal</v>
          </cell>
          <cell r="B17">
            <v>3760303.42</v>
          </cell>
          <cell r="C17">
            <v>2243377.31</v>
          </cell>
          <cell r="D17">
            <v>2110264.79</v>
          </cell>
          <cell r="E17">
            <v>15631958.45</v>
          </cell>
          <cell r="F17">
            <v>9010311.2</v>
          </cell>
          <cell r="G17">
            <v>8828205.47</v>
          </cell>
          <cell r="H17">
            <v>15747730.7</v>
          </cell>
          <cell r="I17">
            <v>9320317.63</v>
          </cell>
          <cell r="J17">
            <v>9098507.08</v>
          </cell>
          <cell r="K17">
            <v>4869817.79</v>
          </cell>
          <cell r="L17">
            <v>4392776.52</v>
          </cell>
          <cell r="M17">
            <v>4389173.27</v>
          </cell>
          <cell r="N17">
            <v>2423735.72</v>
          </cell>
          <cell r="O17">
            <v>2270721.33</v>
          </cell>
          <cell r="P17">
            <v>2234038.53</v>
          </cell>
          <cell r="Q17">
            <v>2760890.76</v>
          </cell>
          <cell r="R17">
            <v>2763461.35</v>
          </cell>
          <cell r="S17">
            <v>2760890.76</v>
          </cell>
          <cell r="T17">
            <v>45194436.84</v>
          </cell>
          <cell r="U17">
            <v>30000965.34</v>
          </cell>
          <cell r="V17">
            <v>29421079.9</v>
          </cell>
        </row>
        <row r="18">
          <cell r="A18" t="str">
            <v>Bhanga</v>
          </cell>
          <cell r="B18">
            <v>7732322.37</v>
          </cell>
          <cell r="C18">
            <v>5667100.92</v>
          </cell>
          <cell r="D18">
            <v>5635112.33</v>
          </cell>
          <cell r="E18">
            <v>30788827.4899999</v>
          </cell>
          <cell r="F18">
            <v>23888425.82</v>
          </cell>
          <cell r="G18">
            <v>23569530.11</v>
          </cell>
          <cell r="H18">
            <v>6032811.65</v>
          </cell>
          <cell r="I18">
            <v>5127926.61</v>
          </cell>
          <cell r="J18">
            <v>4804497.9</v>
          </cell>
          <cell r="K18">
            <v>2262559.85</v>
          </cell>
          <cell r="L18">
            <v>2176804.51</v>
          </cell>
          <cell r="M18">
            <v>2175014.97</v>
          </cell>
        </row>
        <row r="18">
          <cell r="Q18">
            <v>1309754.92</v>
          </cell>
          <cell r="R18">
            <v>1313828.81</v>
          </cell>
          <cell r="S18">
            <v>1309754.92</v>
          </cell>
          <cell r="T18">
            <v>48126276.2799999</v>
          </cell>
          <cell r="U18">
            <v>38174086.67</v>
          </cell>
          <cell r="V18">
            <v>37493910.23</v>
          </cell>
        </row>
        <row r="19">
          <cell r="A19" t="str">
            <v>Bharaib</v>
          </cell>
          <cell r="B19">
            <v>2084538.4</v>
          </cell>
          <cell r="C19">
            <v>1583504.69</v>
          </cell>
          <cell r="D19">
            <v>1554191.98</v>
          </cell>
          <cell r="E19">
            <v>20235750.32</v>
          </cell>
          <cell r="F19">
            <v>16703964.27</v>
          </cell>
          <cell r="G19">
            <v>15666674.15</v>
          </cell>
          <cell r="H19">
            <v>6543652.09</v>
          </cell>
          <cell r="I19">
            <v>5964060.35</v>
          </cell>
          <cell r="J19">
            <v>5145965.19</v>
          </cell>
          <cell r="K19">
            <v>338916.63</v>
          </cell>
          <cell r="L19">
            <v>681539.85</v>
          </cell>
          <cell r="M19">
            <v>338916.63</v>
          </cell>
          <cell r="N19">
            <v>1129534.65</v>
          </cell>
          <cell r="O19">
            <v>1131103.33</v>
          </cell>
          <cell r="P19">
            <v>1129534.65</v>
          </cell>
          <cell r="Q19">
            <v>2268487.14</v>
          </cell>
          <cell r="R19">
            <v>2270645.55</v>
          </cell>
          <cell r="S19">
            <v>2268487.14</v>
          </cell>
          <cell r="T19">
            <v>32600879.23</v>
          </cell>
          <cell r="U19">
            <v>28334818.04</v>
          </cell>
          <cell r="V19">
            <v>26103769.74</v>
          </cell>
        </row>
        <row r="20">
          <cell r="A20" t="str">
            <v>Bheramara</v>
          </cell>
          <cell r="B20">
            <v>3954834.64</v>
          </cell>
          <cell r="C20">
            <v>1185792.03</v>
          </cell>
          <cell r="D20">
            <v>1174203.06</v>
          </cell>
          <cell r="E20">
            <v>9310643.15</v>
          </cell>
          <cell r="F20">
            <v>5401991.94</v>
          </cell>
          <cell r="G20">
            <v>5341799.37</v>
          </cell>
          <cell r="H20">
            <v>14450883.7</v>
          </cell>
          <cell r="I20">
            <v>9998623.32</v>
          </cell>
          <cell r="J20">
            <v>9836197.96</v>
          </cell>
          <cell r="K20">
            <v>1456305.4</v>
          </cell>
          <cell r="L20">
            <v>1457127.51</v>
          </cell>
          <cell r="M20">
            <v>1456305.4</v>
          </cell>
          <cell r="N20">
            <v>1541193.62</v>
          </cell>
          <cell r="O20">
            <v>1541194.55</v>
          </cell>
          <cell r="P20">
            <v>1541193.62</v>
          </cell>
        </row>
        <row r="20">
          <cell r="T20">
            <v>30713860.51</v>
          </cell>
          <cell r="U20">
            <v>19584729.35</v>
          </cell>
          <cell r="V20">
            <v>19349699.41</v>
          </cell>
        </row>
        <row r="21">
          <cell r="A21" t="str">
            <v>Bhola</v>
          </cell>
          <cell r="B21">
            <v>2491631.8</v>
          </cell>
          <cell r="C21">
            <v>1172452.22</v>
          </cell>
          <cell r="D21">
            <v>1157418.19</v>
          </cell>
          <cell r="E21">
            <v>11275601.19</v>
          </cell>
          <cell r="F21">
            <v>8794348.93</v>
          </cell>
          <cell r="G21">
            <v>8723181.36</v>
          </cell>
          <cell r="H21">
            <v>6667736.03</v>
          </cell>
          <cell r="I21">
            <v>4310592.75</v>
          </cell>
          <cell r="J21">
            <v>4290326.31</v>
          </cell>
          <cell r="K21">
            <v>2349855.42</v>
          </cell>
          <cell r="L21">
            <v>2351096.76</v>
          </cell>
          <cell r="M21">
            <v>2349855.42</v>
          </cell>
          <cell r="N21">
            <v>250615.53</v>
          </cell>
          <cell r="O21">
            <v>100000</v>
          </cell>
          <cell r="P21">
            <v>100000</v>
          </cell>
          <cell r="Q21">
            <v>1404985.5</v>
          </cell>
          <cell r="R21">
            <v>1030073</v>
          </cell>
          <cell r="S21">
            <v>1029972</v>
          </cell>
          <cell r="T21">
            <v>24440425.47</v>
          </cell>
          <cell r="U21">
            <v>17758563.66</v>
          </cell>
          <cell r="V21">
            <v>17650753.28</v>
          </cell>
        </row>
        <row r="22">
          <cell r="A22" t="str">
            <v>Bhulta</v>
          </cell>
          <cell r="B22">
            <v>1210920.51</v>
          </cell>
          <cell r="C22">
            <v>994940.2</v>
          </cell>
          <cell r="D22">
            <v>992403.63</v>
          </cell>
          <cell r="E22">
            <v>12210753.79</v>
          </cell>
          <cell r="F22">
            <v>10794866.57</v>
          </cell>
          <cell r="G22">
            <v>10308311.3</v>
          </cell>
          <cell r="H22">
            <v>9815067.28</v>
          </cell>
          <cell r="I22">
            <v>8067725.48</v>
          </cell>
          <cell r="J22">
            <v>8057918.3</v>
          </cell>
          <cell r="K22">
            <v>2684059.61</v>
          </cell>
          <cell r="L22">
            <v>2684480.97</v>
          </cell>
          <cell r="M22">
            <v>2683561.23</v>
          </cell>
        </row>
        <row r="22">
          <cell r="Q22">
            <v>1750348.62</v>
          </cell>
          <cell r="R22">
            <v>1752661.79</v>
          </cell>
          <cell r="S22">
            <v>1750348.62</v>
          </cell>
          <cell r="T22">
            <v>27671149.81</v>
          </cell>
          <cell r="U22">
            <v>24294675.01</v>
          </cell>
          <cell r="V22">
            <v>23792543.08</v>
          </cell>
        </row>
        <row r="23">
          <cell r="A23" t="str">
            <v>Bogura</v>
          </cell>
          <cell r="B23">
            <v>4766038.88</v>
          </cell>
          <cell r="C23">
            <v>3660697.21</v>
          </cell>
          <cell r="D23">
            <v>3633605.98</v>
          </cell>
          <cell r="E23">
            <v>14729702.52</v>
          </cell>
          <cell r="F23">
            <v>8939648.07</v>
          </cell>
          <cell r="G23">
            <v>8761063.83</v>
          </cell>
          <cell r="H23">
            <v>12346245.87</v>
          </cell>
          <cell r="I23">
            <v>10320744.99</v>
          </cell>
          <cell r="J23">
            <v>10037459.93</v>
          </cell>
          <cell r="K23">
            <v>5875266.01</v>
          </cell>
          <cell r="L23">
            <v>5036823.12</v>
          </cell>
          <cell r="M23">
            <v>5033596.04</v>
          </cell>
          <cell r="N23">
            <v>4977524.09</v>
          </cell>
          <cell r="O23">
            <v>5008284.07</v>
          </cell>
          <cell r="P23">
            <v>4977524.09</v>
          </cell>
          <cell r="Q23">
            <v>3475309.71</v>
          </cell>
          <cell r="R23">
            <v>3476549.74</v>
          </cell>
          <cell r="S23">
            <v>3475309.71</v>
          </cell>
          <cell r="T23">
            <v>46170087.08</v>
          </cell>
          <cell r="U23">
            <v>36442747.2</v>
          </cell>
          <cell r="V23">
            <v>35918559.58</v>
          </cell>
        </row>
        <row r="24">
          <cell r="A24" t="str">
            <v>Brahmanbaria</v>
          </cell>
          <cell r="B24">
            <v>4360589.55</v>
          </cell>
          <cell r="C24">
            <v>3443495.33</v>
          </cell>
          <cell r="D24">
            <v>3384589.49</v>
          </cell>
          <cell r="E24">
            <v>22724926.82</v>
          </cell>
          <cell r="F24">
            <v>18156440.66</v>
          </cell>
          <cell r="G24">
            <v>17585272.41</v>
          </cell>
          <cell r="H24">
            <v>8272364.55</v>
          </cell>
          <cell r="I24">
            <v>6446720.75</v>
          </cell>
          <cell r="J24">
            <v>6186994.9</v>
          </cell>
          <cell r="K24">
            <v>1492908.88</v>
          </cell>
          <cell r="L24">
            <v>1494234.12</v>
          </cell>
          <cell r="M24">
            <v>1492908.88</v>
          </cell>
          <cell r="N24">
            <v>1667367.43</v>
          </cell>
          <cell r="O24">
            <v>1668192.44</v>
          </cell>
          <cell r="P24">
            <v>1667367.43</v>
          </cell>
        </row>
        <row r="24">
          <cell r="T24">
            <v>38518157.23</v>
          </cell>
          <cell r="U24">
            <v>31209083.3</v>
          </cell>
          <cell r="V24">
            <v>30317133.11</v>
          </cell>
        </row>
        <row r="25">
          <cell r="A25" t="str">
            <v>C. Nawabganj</v>
          </cell>
          <cell r="B25">
            <v>2635416.74</v>
          </cell>
          <cell r="C25">
            <v>2121363.72</v>
          </cell>
          <cell r="D25">
            <v>2120063.79</v>
          </cell>
          <cell r="E25">
            <v>10423355.43</v>
          </cell>
          <cell r="F25">
            <v>9432943.05</v>
          </cell>
          <cell r="G25">
            <v>9098584.48</v>
          </cell>
          <cell r="H25">
            <v>12661691.43</v>
          </cell>
          <cell r="I25">
            <v>10521171.71</v>
          </cell>
          <cell r="J25">
            <v>10512463.29</v>
          </cell>
          <cell r="K25">
            <v>2390195.26</v>
          </cell>
          <cell r="L25">
            <v>2392347.95</v>
          </cell>
          <cell r="M25">
            <v>2390195.26</v>
          </cell>
          <cell r="N25">
            <v>1278317.69</v>
          </cell>
          <cell r="O25">
            <v>1278638.23</v>
          </cell>
          <cell r="P25">
            <v>1278317.69</v>
          </cell>
          <cell r="Q25">
            <v>5094904.42</v>
          </cell>
          <cell r="R25">
            <v>4573105.01</v>
          </cell>
          <cell r="S25">
            <v>4459412.54</v>
          </cell>
          <cell r="T25">
            <v>34483880.97</v>
          </cell>
          <cell r="U25">
            <v>30319569.67</v>
          </cell>
          <cell r="V25">
            <v>29859037.05</v>
          </cell>
        </row>
        <row r="26">
          <cell r="A26" t="str">
            <v>Chandina</v>
          </cell>
          <cell r="B26">
            <v>13484105.58</v>
          </cell>
          <cell r="C26">
            <v>9400821.51</v>
          </cell>
          <cell r="D26">
            <v>9268282.74</v>
          </cell>
          <cell r="E26">
            <v>29998559.27</v>
          </cell>
          <cell r="F26">
            <v>26957233.01</v>
          </cell>
          <cell r="G26">
            <v>26445225.38</v>
          </cell>
          <cell r="H26">
            <v>8586219.69</v>
          </cell>
          <cell r="I26">
            <v>7239838.45</v>
          </cell>
          <cell r="J26">
            <v>7158878.24</v>
          </cell>
          <cell r="K26">
            <v>770931.03</v>
          </cell>
          <cell r="L26">
            <v>771430.38</v>
          </cell>
          <cell r="M26">
            <v>770931.03</v>
          </cell>
          <cell r="N26">
            <v>777117.99</v>
          </cell>
          <cell r="O26">
            <v>628979.79</v>
          </cell>
          <cell r="P26">
            <v>628369.57</v>
          </cell>
        </row>
        <row r="26">
          <cell r="T26">
            <v>53616933.56</v>
          </cell>
          <cell r="U26">
            <v>44998303.14</v>
          </cell>
          <cell r="V26">
            <v>44271686.96</v>
          </cell>
        </row>
        <row r="27">
          <cell r="A27" t="str">
            <v>Chauddagram</v>
          </cell>
          <cell r="B27">
            <v>8126674.3</v>
          </cell>
          <cell r="C27">
            <v>5419092.04</v>
          </cell>
          <cell r="D27">
            <v>5318590.04</v>
          </cell>
          <cell r="E27">
            <v>23910851.71</v>
          </cell>
          <cell r="F27">
            <v>20326567.58</v>
          </cell>
          <cell r="G27">
            <v>20091857.72</v>
          </cell>
          <cell r="H27">
            <v>4783455.04</v>
          </cell>
          <cell r="I27">
            <v>4334494.63</v>
          </cell>
          <cell r="J27">
            <v>4276353.01</v>
          </cell>
          <cell r="K27">
            <v>1097402.67</v>
          </cell>
          <cell r="L27">
            <v>955295.81</v>
          </cell>
          <cell r="M27">
            <v>952956.37</v>
          </cell>
          <cell r="N27">
            <v>4406053.23</v>
          </cell>
        </row>
        <row r="27">
          <cell r="P27">
            <v>0</v>
          </cell>
        </row>
        <row r="27">
          <cell r="T27">
            <v>42324436.95</v>
          </cell>
          <cell r="U27">
            <v>31035450.06</v>
          </cell>
          <cell r="V27">
            <v>30639757.14</v>
          </cell>
        </row>
        <row r="28">
          <cell r="A28" t="str">
            <v>Chawk Bazar</v>
          </cell>
          <cell r="B28">
            <v>1027526.26</v>
          </cell>
          <cell r="C28">
            <v>27536.78</v>
          </cell>
          <cell r="D28">
            <v>27536.78</v>
          </cell>
          <cell r="E28">
            <v>17637105.54</v>
          </cell>
          <cell r="F28">
            <v>7027276.37</v>
          </cell>
          <cell r="G28">
            <v>6914181.71</v>
          </cell>
          <cell r="H28">
            <v>40866922.71</v>
          </cell>
          <cell r="I28">
            <v>22557186.42</v>
          </cell>
          <cell r="J28">
            <v>21945045.96</v>
          </cell>
          <cell r="K28">
            <v>10849627.47</v>
          </cell>
          <cell r="L28">
            <v>8374948.93</v>
          </cell>
          <cell r="M28">
            <v>8366787.69</v>
          </cell>
          <cell r="N28">
            <v>10888880.52</v>
          </cell>
          <cell r="O28">
            <v>4995151.12</v>
          </cell>
          <cell r="P28">
            <v>4699177.24</v>
          </cell>
          <cell r="Q28">
            <v>6345034.34</v>
          </cell>
          <cell r="R28">
            <v>5673021.34</v>
          </cell>
          <cell r="S28">
            <v>5386960.72</v>
          </cell>
          <cell r="T28">
            <v>87615096.84</v>
          </cell>
          <cell r="U28">
            <v>48655120.96</v>
          </cell>
          <cell r="V28">
            <v>47339690.1</v>
          </cell>
        </row>
        <row r="29">
          <cell r="A29" t="str">
            <v>Choumohoni</v>
          </cell>
          <cell r="B29">
            <v>3655709.61</v>
          </cell>
          <cell r="C29">
            <v>2227860.59</v>
          </cell>
          <cell r="D29">
            <v>2078129.4</v>
          </cell>
          <cell r="E29">
            <v>24863776.3</v>
          </cell>
          <cell r="F29">
            <v>16564363.93</v>
          </cell>
          <cell r="G29">
            <v>15808670.06</v>
          </cell>
          <cell r="H29">
            <v>10811552.61</v>
          </cell>
          <cell r="I29">
            <v>7306712.44</v>
          </cell>
          <cell r="J29">
            <v>6497978.61</v>
          </cell>
          <cell r="K29">
            <v>2765468.44</v>
          </cell>
          <cell r="L29">
            <v>2075447.54</v>
          </cell>
          <cell r="M29">
            <v>2074459.15</v>
          </cell>
          <cell r="N29">
            <v>733246.19</v>
          </cell>
          <cell r="O29">
            <v>971934.68</v>
          </cell>
          <cell r="P29">
            <v>733246.19</v>
          </cell>
        </row>
        <row r="29">
          <cell r="T29">
            <v>42829753.15</v>
          </cell>
          <cell r="U29">
            <v>29146319.18</v>
          </cell>
          <cell r="V29">
            <v>27192483.41</v>
          </cell>
        </row>
        <row r="30">
          <cell r="A30" t="str">
            <v>Chuadanga</v>
          </cell>
          <cell r="B30">
            <v>1826470.01</v>
          </cell>
          <cell r="C30">
            <v>1375981.75</v>
          </cell>
          <cell r="D30">
            <v>1331318.27</v>
          </cell>
          <cell r="E30">
            <v>8376380.26</v>
          </cell>
          <cell r="F30">
            <v>7441083.62</v>
          </cell>
          <cell r="G30">
            <v>6976968.84</v>
          </cell>
          <cell r="H30">
            <v>13203792.18</v>
          </cell>
          <cell r="I30">
            <v>9527190.22</v>
          </cell>
          <cell r="J30">
            <v>9401891.49</v>
          </cell>
          <cell r="K30">
            <v>7557299.67</v>
          </cell>
          <cell r="L30">
            <v>7518326.94</v>
          </cell>
          <cell r="M30">
            <v>7502363.19</v>
          </cell>
          <cell r="N30">
            <v>8382980.96</v>
          </cell>
          <cell r="O30">
            <v>7672606.95</v>
          </cell>
          <cell r="P30">
            <v>7643830.36</v>
          </cell>
          <cell r="Q30">
            <v>1579159.59</v>
          </cell>
          <cell r="R30">
            <v>1491809.92</v>
          </cell>
          <cell r="S30">
            <v>1491802.15</v>
          </cell>
          <cell r="T30">
            <v>40926082.67</v>
          </cell>
          <cell r="U30">
            <v>35026999.4</v>
          </cell>
          <cell r="V30">
            <v>34348174.3</v>
          </cell>
        </row>
        <row r="31">
          <cell r="A31" t="str">
            <v>Comilla East</v>
          </cell>
          <cell r="B31">
            <v>5348151.27</v>
          </cell>
          <cell r="C31">
            <v>3821770.82</v>
          </cell>
          <cell r="D31">
            <v>3690243.57</v>
          </cell>
          <cell r="E31">
            <v>24107453.62</v>
          </cell>
          <cell r="F31">
            <v>17603849.71</v>
          </cell>
          <cell r="G31">
            <v>17204491.86</v>
          </cell>
          <cell r="H31">
            <v>8070156.56</v>
          </cell>
          <cell r="I31">
            <v>6291924.46</v>
          </cell>
          <cell r="J31">
            <v>6282722.78</v>
          </cell>
          <cell r="K31">
            <v>1592959.89</v>
          </cell>
          <cell r="L31">
            <v>1934618.07</v>
          </cell>
          <cell r="M31">
            <v>1592959.89</v>
          </cell>
          <cell r="N31">
            <v>1320800.35</v>
          </cell>
          <cell r="O31">
            <v>1321361.46</v>
          </cell>
          <cell r="P31">
            <v>1320800.35</v>
          </cell>
          <cell r="Q31">
            <v>851774.98</v>
          </cell>
          <cell r="R31">
            <v>852679.55</v>
          </cell>
          <cell r="S31">
            <v>851774.98</v>
          </cell>
          <cell r="T31">
            <v>41291296.67</v>
          </cell>
          <cell r="U31">
            <v>31826204.07</v>
          </cell>
          <cell r="V31">
            <v>30942993.43</v>
          </cell>
        </row>
        <row r="32">
          <cell r="A32" t="str">
            <v>Comilla West</v>
          </cell>
          <cell r="B32">
            <v>4365045.43</v>
          </cell>
          <cell r="C32">
            <v>2660992.58</v>
          </cell>
          <cell r="D32">
            <v>2505774.99</v>
          </cell>
          <cell r="E32">
            <v>13742802.39</v>
          </cell>
          <cell r="F32">
            <v>9229669.15</v>
          </cell>
          <cell r="G32">
            <v>8803494.85</v>
          </cell>
          <cell r="H32">
            <v>8613821.82</v>
          </cell>
          <cell r="I32">
            <v>5146943.7</v>
          </cell>
          <cell r="J32">
            <v>5012235.42</v>
          </cell>
          <cell r="K32">
            <v>1348630.12</v>
          </cell>
          <cell r="L32">
            <v>978209.26</v>
          </cell>
          <cell r="M32">
            <v>977767.15</v>
          </cell>
          <cell r="N32">
            <v>1364996.3</v>
          </cell>
          <cell r="O32">
            <v>1088561.26</v>
          </cell>
          <cell r="P32">
            <v>1082750.02</v>
          </cell>
          <cell r="Q32">
            <v>1774717.5</v>
          </cell>
          <cell r="R32">
            <v>756488.87</v>
          </cell>
          <cell r="S32">
            <v>756488.87</v>
          </cell>
          <cell r="T32">
            <v>31210013.56</v>
          </cell>
          <cell r="U32">
            <v>19860864.82</v>
          </cell>
          <cell r="V32">
            <v>19138511.3</v>
          </cell>
        </row>
        <row r="33">
          <cell r="A33" t="str">
            <v>Companygonj</v>
          </cell>
          <cell r="B33">
            <v>7665443.24</v>
          </cell>
          <cell r="C33">
            <v>6889606.01</v>
          </cell>
          <cell r="D33">
            <v>6700716.96</v>
          </cell>
          <cell r="E33">
            <v>29317634.77</v>
          </cell>
          <cell r="F33">
            <v>25323185.63</v>
          </cell>
          <cell r="G33">
            <v>25202046.76</v>
          </cell>
          <cell r="H33">
            <v>2486623.86</v>
          </cell>
          <cell r="I33">
            <v>2527020.53</v>
          </cell>
          <cell r="J33">
            <v>2383024.59</v>
          </cell>
          <cell r="K33">
            <v>268635.47</v>
          </cell>
          <cell r="L33">
            <v>268635.47</v>
          </cell>
          <cell r="M33">
            <v>268635.47</v>
          </cell>
          <cell r="N33">
            <v>247016.77</v>
          </cell>
          <cell r="O33">
            <v>247107.57</v>
          </cell>
          <cell r="P33">
            <v>247016.77</v>
          </cell>
        </row>
        <row r="33">
          <cell r="T33">
            <v>39985354.11</v>
          </cell>
          <cell r="U33">
            <v>35255555.21</v>
          </cell>
          <cell r="V33">
            <v>34801440.55</v>
          </cell>
        </row>
        <row r="34">
          <cell r="A34" t="str">
            <v>Cox's Bazar</v>
          </cell>
          <cell r="B34">
            <v>1003399.6</v>
          </cell>
          <cell r="C34">
            <v>921780.13</v>
          </cell>
          <cell r="D34">
            <v>921190.59</v>
          </cell>
          <cell r="E34">
            <v>3893395.17</v>
          </cell>
          <cell r="F34">
            <v>3139133.43</v>
          </cell>
          <cell r="G34">
            <v>3136107.97</v>
          </cell>
          <cell r="H34">
            <v>4302714.83</v>
          </cell>
          <cell r="I34">
            <v>3424134.65</v>
          </cell>
          <cell r="J34">
            <v>3421929.71</v>
          </cell>
          <cell r="K34">
            <v>918159.78</v>
          </cell>
          <cell r="L34">
            <v>583729.45</v>
          </cell>
          <cell r="M34">
            <v>582365.44</v>
          </cell>
          <cell r="N34">
            <v>313363.65</v>
          </cell>
          <cell r="O34">
            <v>313363.65</v>
          </cell>
          <cell r="P34">
            <v>313363.65</v>
          </cell>
        </row>
        <row r="34">
          <cell r="T34">
            <v>10431033.03</v>
          </cell>
          <cell r="U34">
            <v>8382141.31</v>
          </cell>
          <cell r="V34">
            <v>8374957.36</v>
          </cell>
        </row>
        <row r="35">
          <cell r="A35" t="str">
            <v>Daulatpur</v>
          </cell>
          <cell r="B35">
            <v>742201.97</v>
          </cell>
          <cell r="C35">
            <v>678907.34</v>
          </cell>
          <cell r="D35">
            <v>674465.84</v>
          </cell>
          <cell r="E35">
            <v>9738358.97</v>
          </cell>
          <cell r="F35">
            <v>6007104.35</v>
          </cell>
          <cell r="G35">
            <v>5746215.5</v>
          </cell>
          <cell r="H35">
            <v>10526536.64</v>
          </cell>
          <cell r="I35">
            <v>7953681.9</v>
          </cell>
          <cell r="J35">
            <v>7017223.38</v>
          </cell>
          <cell r="K35">
            <v>4638330.65</v>
          </cell>
          <cell r="L35">
            <v>3890169.21</v>
          </cell>
          <cell r="M35">
            <v>3876334.16</v>
          </cell>
          <cell r="N35">
            <v>2551402.83</v>
          </cell>
          <cell r="O35">
            <v>2595990.1</v>
          </cell>
          <cell r="P35">
            <v>2248191.89</v>
          </cell>
          <cell r="Q35">
            <v>1720153.57</v>
          </cell>
          <cell r="R35">
            <v>1553443.99</v>
          </cell>
          <cell r="S35">
            <v>1553443.99</v>
          </cell>
          <cell r="T35">
            <v>29916984.63</v>
          </cell>
          <cell r="U35">
            <v>22679296.89</v>
          </cell>
          <cell r="V35">
            <v>21115874.76</v>
          </cell>
        </row>
        <row r="36">
          <cell r="A36" t="str">
            <v>DEPZ</v>
          </cell>
          <cell r="B36">
            <v>772371.83</v>
          </cell>
          <cell r="C36">
            <v>486177.51</v>
          </cell>
          <cell r="D36">
            <v>485316.82</v>
          </cell>
          <cell r="E36">
            <v>5771774.64</v>
          </cell>
          <cell r="F36">
            <v>4449130.37</v>
          </cell>
          <cell r="G36">
            <v>4379098.88</v>
          </cell>
          <cell r="H36">
            <v>11293328.78</v>
          </cell>
          <cell r="I36">
            <v>8668988.69</v>
          </cell>
          <cell r="J36">
            <v>8567975.53</v>
          </cell>
          <cell r="K36">
            <v>2899804.4</v>
          </cell>
          <cell r="L36">
            <v>2342380.82</v>
          </cell>
          <cell r="M36">
            <v>2334878</v>
          </cell>
          <cell r="N36">
            <v>1081996.7</v>
          </cell>
          <cell r="O36">
            <v>563085.36</v>
          </cell>
          <cell r="P36">
            <v>429212.17</v>
          </cell>
          <cell r="Q36">
            <v>3718338.92</v>
          </cell>
          <cell r="R36">
            <v>3381567.77</v>
          </cell>
          <cell r="S36">
            <v>3381567.77</v>
          </cell>
          <cell r="T36">
            <v>25537615.27</v>
          </cell>
          <cell r="U36">
            <v>19891330.52</v>
          </cell>
          <cell r="V36">
            <v>19578049.17</v>
          </cell>
        </row>
        <row r="37">
          <cell r="A37" t="str">
            <v>Dhamrai</v>
          </cell>
          <cell r="B37">
            <v>1322462.21</v>
          </cell>
          <cell r="C37">
            <v>1037178.03</v>
          </cell>
          <cell r="D37">
            <v>1013494.41</v>
          </cell>
          <cell r="E37">
            <v>14350935.41</v>
          </cell>
          <cell r="F37">
            <v>8225469.32</v>
          </cell>
          <cell r="G37">
            <v>7417512.89</v>
          </cell>
          <cell r="H37">
            <v>7127574.92</v>
          </cell>
          <cell r="I37">
            <v>4323980.84</v>
          </cell>
          <cell r="J37">
            <v>3898606.25</v>
          </cell>
          <cell r="K37">
            <v>1677771.62</v>
          </cell>
          <cell r="L37">
            <v>942300.23</v>
          </cell>
          <cell r="M37">
            <v>940718.29</v>
          </cell>
          <cell r="N37">
            <v>1139778.18</v>
          </cell>
          <cell r="O37">
            <v>869983.63</v>
          </cell>
          <cell r="P37">
            <v>766237.41</v>
          </cell>
          <cell r="Q37">
            <v>921714</v>
          </cell>
          <cell r="R37">
            <v>921714</v>
          </cell>
          <cell r="S37">
            <v>921714</v>
          </cell>
          <cell r="T37">
            <v>26540236.34</v>
          </cell>
          <cell r="U37">
            <v>16320626.05</v>
          </cell>
          <cell r="V37">
            <v>14958283.25</v>
          </cell>
        </row>
        <row r="38">
          <cell r="A38" t="str">
            <v>Dinajpur</v>
          </cell>
          <cell r="B38">
            <v>2248933.46</v>
          </cell>
          <cell r="C38">
            <v>2053637.31</v>
          </cell>
          <cell r="D38">
            <v>2014810.63</v>
          </cell>
          <cell r="E38">
            <v>8256319.26</v>
          </cell>
          <cell r="F38">
            <v>5403072.16</v>
          </cell>
          <cell r="G38">
            <v>5302567.31</v>
          </cell>
          <cell r="H38">
            <v>9933210.44</v>
          </cell>
          <cell r="I38">
            <v>8434572.5</v>
          </cell>
          <cell r="J38">
            <v>8420158.54</v>
          </cell>
          <cell r="K38">
            <v>6740907.92</v>
          </cell>
          <cell r="L38">
            <v>2914324.01</v>
          </cell>
          <cell r="M38">
            <v>2912285.4</v>
          </cell>
          <cell r="N38">
            <v>5842494.01</v>
          </cell>
          <cell r="O38">
            <v>5798547.49</v>
          </cell>
          <cell r="P38">
            <v>5439540.8</v>
          </cell>
          <cell r="Q38">
            <v>3840676.42</v>
          </cell>
          <cell r="R38">
            <v>2831082.89</v>
          </cell>
          <cell r="S38">
            <v>2831041.36</v>
          </cell>
          <cell r="T38">
            <v>36862541.51</v>
          </cell>
          <cell r="U38">
            <v>27435236.36</v>
          </cell>
          <cell r="V38">
            <v>26920404.04</v>
          </cell>
        </row>
        <row r="39">
          <cell r="A39" t="str">
            <v>Elephant Road</v>
          </cell>
          <cell r="B39">
            <v>874827.01</v>
          </cell>
          <cell r="C39">
            <v>515938.13</v>
          </cell>
          <cell r="D39">
            <v>478567.83</v>
          </cell>
          <cell r="E39">
            <v>13384691.46</v>
          </cell>
          <cell r="F39">
            <v>4838785.86</v>
          </cell>
          <cell r="G39">
            <v>4662007.57</v>
          </cell>
          <cell r="H39">
            <v>32668390.84</v>
          </cell>
          <cell r="I39">
            <v>19696991.41</v>
          </cell>
          <cell r="J39">
            <v>18295994.48</v>
          </cell>
          <cell r="K39">
            <v>7798780.45</v>
          </cell>
          <cell r="L39">
            <v>4855508.04</v>
          </cell>
          <cell r="M39">
            <v>4665508.85</v>
          </cell>
          <cell r="N39">
            <v>7174558.47</v>
          </cell>
          <cell r="O39">
            <v>6448872.63</v>
          </cell>
          <cell r="P39">
            <v>6444007.21</v>
          </cell>
          <cell r="Q39">
            <v>11711823.44</v>
          </cell>
          <cell r="R39">
            <v>7241217.3</v>
          </cell>
          <cell r="S39">
            <v>7035153.22</v>
          </cell>
          <cell r="T39">
            <v>73613071.67</v>
          </cell>
          <cell r="U39">
            <v>43597313.37</v>
          </cell>
          <cell r="V39">
            <v>41581239.16</v>
          </cell>
        </row>
        <row r="40">
          <cell r="A40" t="str">
            <v>Faridpur</v>
          </cell>
          <cell r="B40">
            <v>5849679.13</v>
          </cell>
          <cell r="C40">
            <v>4784062.57</v>
          </cell>
          <cell r="D40">
            <v>4694201.05</v>
          </cell>
          <cell r="E40">
            <v>19527989.65</v>
          </cell>
          <cell r="F40">
            <v>13637811.21</v>
          </cell>
          <cell r="G40">
            <v>13329039.49</v>
          </cell>
          <cell r="H40">
            <v>7671928.17</v>
          </cell>
          <cell r="I40">
            <v>5532901.34</v>
          </cell>
          <cell r="J40">
            <v>5513919</v>
          </cell>
          <cell r="K40">
            <v>884167.07</v>
          </cell>
          <cell r="L40">
            <v>884433.27</v>
          </cell>
          <cell r="M40">
            <v>884167.07</v>
          </cell>
        </row>
        <row r="40">
          <cell r="T40">
            <v>33933764.02</v>
          </cell>
          <cell r="U40">
            <v>24839208.39</v>
          </cell>
          <cell r="V40">
            <v>24421326.61</v>
          </cell>
        </row>
        <row r="41">
          <cell r="A41" t="str">
            <v>Fatullah</v>
          </cell>
          <cell r="B41">
            <v>1067101.55</v>
          </cell>
          <cell r="C41">
            <v>783803.78</v>
          </cell>
          <cell r="D41">
            <v>721101.33</v>
          </cell>
          <cell r="E41">
            <v>13619336.66</v>
          </cell>
          <cell r="F41">
            <v>10319822.98</v>
          </cell>
          <cell r="G41">
            <v>9709398.75</v>
          </cell>
          <cell r="H41">
            <v>6394660.98</v>
          </cell>
          <cell r="I41">
            <v>5671814.28</v>
          </cell>
          <cell r="J41">
            <v>5287557.13</v>
          </cell>
          <cell r="K41">
            <v>2323831.57</v>
          </cell>
          <cell r="L41">
            <v>1958485.61</v>
          </cell>
          <cell r="M41">
            <v>1952369.39</v>
          </cell>
          <cell r="N41">
            <v>987161.78</v>
          </cell>
          <cell r="O41">
            <v>987161.78</v>
          </cell>
          <cell r="P41">
            <v>987161.78</v>
          </cell>
          <cell r="Q41">
            <v>424191.09</v>
          </cell>
          <cell r="R41">
            <v>425603.03</v>
          </cell>
          <cell r="S41">
            <v>424191.09</v>
          </cell>
          <cell r="T41">
            <v>24816283.63</v>
          </cell>
          <cell r="U41">
            <v>20146691.46</v>
          </cell>
          <cell r="V41">
            <v>19081779.47</v>
          </cell>
        </row>
        <row r="42">
          <cell r="A42" t="str">
            <v>Feni</v>
          </cell>
          <cell r="B42">
            <v>2412412.29</v>
          </cell>
          <cell r="C42">
            <v>1853855.39</v>
          </cell>
          <cell r="D42">
            <v>1779247.51</v>
          </cell>
          <cell r="E42">
            <v>27419853.57</v>
          </cell>
          <cell r="F42">
            <v>23546535.58</v>
          </cell>
          <cell r="G42">
            <v>22615909.68</v>
          </cell>
          <cell r="H42">
            <v>11283983.33</v>
          </cell>
          <cell r="I42">
            <v>9496437.94</v>
          </cell>
          <cell r="J42">
            <v>9327979.53</v>
          </cell>
          <cell r="K42">
            <v>4035620.52</v>
          </cell>
          <cell r="L42">
            <v>4037974.86</v>
          </cell>
          <cell r="M42">
            <v>4035620.52</v>
          </cell>
          <cell r="N42">
            <v>2309250.59</v>
          </cell>
          <cell r="O42">
            <v>2312156.5</v>
          </cell>
          <cell r="P42">
            <v>2309250.59</v>
          </cell>
          <cell r="Q42">
            <v>2085906.67</v>
          </cell>
          <cell r="R42">
            <v>2087867.83</v>
          </cell>
          <cell r="S42">
            <v>2085906.67</v>
          </cell>
          <cell r="T42">
            <v>49547026.97</v>
          </cell>
          <cell r="U42">
            <v>43334828.1</v>
          </cell>
          <cell r="V42">
            <v>42153914.5</v>
          </cell>
        </row>
        <row r="43">
          <cell r="A43" t="str">
            <v>Fulbari</v>
          </cell>
          <cell r="B43">
            <v>1830902.21</v>
          </cell>
          <cell r="C43">
            <v>1474904.08</v>
          </cell>
          <cell r="D43">
            <v>1473845.68</v>
          </cell>
          <cell r="E43">
            <v>5352363.87</v>
          </cell>
          <cell r="F43">
            <v>4542888.57</v>
          </cell>
          <cell r="G43">
            <v>4530632.31</v>
          </cell>
          <cell r="H43">
            <v>5532431.38</v>
          </cell>
          <cell r="I43">
            <v>5234818.24</v>
          </cell>
          <cell r="J43">
            <v>5181435.65</v>
          </cell>
          <cell r="K43">
            <v>3124488.49</v>
          </cell>
          <cell r="L43">
            <v>2047222.37</v>
          </cell>
          <cell r="M43">
            <v>2046878.75</v>
          </cell>
          <cell r="N43">
            <v>1267063.98</v>
          </cell>
          <cell r="O43">
            <v>1267063.98</v>
          </cell>
          <cell r="P43">
            <v>1267063.98</v>
          </cell>
        </row>
        <row r="43">
          <cell r="T43">
            <v>17107249.93</v>
          </cell>
          <cell r="U43">
            <v>14566897.24</v>
          </cell>
          <cell r="V43">
            <v>14499856.37</v>
          </cell>
        </row>
        <row r="44">
          <cell r="A44" t="str">
            <v>Gaibandha</v>
          </cell>
          <cell r="B44">
            <v>2503064.45</v>
          </cell>
          <cell r="C44">
            <v>1777441.62</v>
          </cell>
          <cell r="D44">
            <v>1752380.68</v>
          </cell>
          <cell r="E44">
            <v>9423510.78</v>
          </cell>
          <cell r="F44">
            <v>7345207.21</v>
          </cell>
          <cell r="G44">
            <v>7333688.64</v>
          </cell>
          <cell r="H44">
            <v>8526566.43</v>
          </cell>
          <cell r="I44">
            <v>7604574.68</v>
          </cell>
          <cell r="J44">
            <v>7597823.3</v>
          </cell>
          <cell r="K44">
            <v>1595391.73</v>
          </cell>
          <cell r="L44">
            <v>1596995.26</v>
          </cell>
          <cell r="M44">
            <v>1595391.73</v>
          </cell>
          <cell r="N44">
            <v>3596622</v>
          </cell>
          <cell r="O44">
            <v>3648099.15</v>
          </cell>
          <cell r="P44">
            <v>3171282.5</v>
          </cell>
          <cell r="Q44">
            <v>464550.1</v>
          </cell>
          <cell r="R44">
            <v>465150.1</v>
          </cell>
          <cell r="S44">
            <v>464550.1</v>
          </cell>
          <cell r="T44">
            <v>26109705.49</v>
          </cell>
          <cell r="U44">
            <v>22437468.02</v>
          </cell>
          <cell r="V44">
            <v>21915116.95</v>
          </cell>
        </row>
        <row r="45">
          <cell r="A45" t="str">
            <v>Gazipur</v>
          </cell>
          <cell r="B45">
            <v>394678.54</v>
          </cell>
          <cell r="C45">
            <v>212088.37</v>
          </cell>
          <cell r="D45">
            <v>211846.78</v>
          </cell>
          <cell r="E45">
            <v>9827002.45</v>
          </cell>
          <cell r="F45">
            <v>5336362.58</v>
          </cell>
          <cell r="G45">
            <v>5220196.18</v>
          </cell>
          <cell r="H45">
            <v>14262723.68</v>
          </cell>
          <cell r="I45">
            <v>11015386.75</v>
          </cell>
          <cell r="J45">
            <v>10471458.8</v>
          </cell>
          <cell r="K45">
            <v>4021597.96</v>
          </cell>
          <cell r="L45">
            <v>3636918.95</v>
          </cell>
          <cell r="M45">
            <v>3618228.04</v>
          </cell>
          <cell r="N45">
            <v>1427963.38</v>
          </cell>
          <cell r="O45">
            <v>1588435.39</v>
          </cell>
          <cell r="P45">
            <v>1427963.38</v>
          </cell>
          <cell r="Q45">
            <v>3025608.34</v>
          </cell>
          <cell r="R45">
            <v>3065941.3</v>
          </cell>
          <cell r="S45">
            <v>2644143.42</v>
          </cell>
          <cell r="T45">
            <v>32959574.35</v>
          </cell>
          <cell r="U45">
            <v>24855133.34</v>
          </cell>
          <cell r="V45">
            <v>23593836.6</v>
          </cell>
        </row>
        <row r="46">
          <cell r="A46" t="str">
            <v>Ghatail</v>
          </cell>
          <cell r="B46">
            <v>2147288.19</v>
          </cell>
          <cell r="C46">
            <v>981184.01</v>
          </cell>
          <cell r="D46">
            <v>975966.62</v>
          </cell>
          <cell r="E46">
            <v>9149605.97</v>
          </cell>
          <cell r="F46">
            <v>7731787.18</v>
          </cell>
          <cell r="G46">
            <v>7570516.32</v>
          </cell>
          <cell r="H46">
            <v>5539692.01</v>
          </cell>
          <cell r="I46">
            <v>5041901.23</v>
          </cell>
          <cell r="J46">
            <v>5019978.95</v>
          </cell>
          <cell r="K46">
            <v>1320307.2</v>
          </cell>
          <cell r="L46">
            <v>2295335.94</v>
          </cell>
          <cell r="M46">
            <v>1320307.2</v>
          </cell>
          <cell r="N46">
            <v>2671487.9</v>
          </cell>
          <cell r="O46">
            <v>3275948.63</v>
          </cell>
          <cell r="P46">
            <v>2671487.9</v>
          </cell>
          <cell r="Q46">
            <v>2419375.95</v>
          </cell>
          <cell r="R46">
            <v>2420514.8</v>
          </cell>
          <cell r="S46">
            <v>2419375.95</v>
          </cell>
          <cell r="T46">
            <v>23247757.22</v>
          </cell>
          <cell r="U46">
            <v>21746671.79</v>
          </cell>
          <cell r="V46">
            <v>19977632.94</v>
          </cell>
        </row>
        <row r="47">
          <cell r="A47" t="str">
            <v>Gopalgonj</v>
          </cell>
          <cell r="B47">
            <v>3635790.34</v>
          </cell>
          <cell r="C47">
            <v>1377967.62</v>
          </cell>
          <cell r="D47">
            <v>1279148.12</v>
          </cell>
          <cell r="E47">
            <v>15105642.42</v>
          </cell>
          <cell r="F47">
            <v>10227309.67</v>
          </cell>
          <cell r="G47">
            <v>10121262.47</v>
          </cell>
          <cell r="H47">
            <v>12484574.25</v>
          </cell>
          <cell r="I47">
            <v>6927343.52</v>
          </cell>
          <cell r="J47">
            <v>6902158.21</v>
          </cell>
          <cell r="K47">
            <v>2301580.71</v>
          </cell>
          <cell r="L47">
            <v>2018728.64</v>
          </cell>
          <cell r="M47">
            <v>2013503.41</v>
          </cell>
          <cell r="N47">
            <v>2709689.18</v>
          </cell>
          <cell r="O47">
            <v>2712098.18</v>
          </cell>
          <cell r="P47">
            <v>2709689.18</v>
          </cell>
          <cell r="Q47">
            <v>36571952.36</v>
          </cell>
          <cell r="R47">
            <v>315286.59</v>
          </cell>
          <cell r="S47">
            <v>315286.59</v>
          </cell>
          <cell r="T47">
            <v>72809229.26</v>
          </cell>
          <cell r="U47">
            <v>23578734.22</v>
          </cell>
          <cell r="V47">
            <v>23341047.98</v>
          </cell>
        </row>
        <row r="48">
          <cell r="A48" t="str">
            <v>Gulistan</v>
          </cell>
          <cell r="B48">
            <v>186519.52</v>
          </cell>
          <cell r="C48">
            <v>144852.86</v>
          </cell>
          <cell r="D48">
            <v>144852.86</v>
          </cell>
          <cell r="E48">
            <v>7646300.52</v>
          </cell>
          <cell r="F48">
            <v>3866697.14</v>
          </cell>
          <cell r="G48">
            <v>3768954.78</v>
          </cell>
          <cell r="H48">
            <v>33445401.78</v>
          </cell>
          <cell r="I48">
            <v>17780621.47</v>
          </cell>
          <cell r="J48">
            <v>17644343.95</v>
          </cell>
          <cell r="K48">
            <v>6381071.76</v>
          </cell>
          <cell r="L48">
            <v>2877631.78</v>
          </cell>
          <cell r="M48">
            <v>2876797.22</v>
          </cell>
          <cell r="N48">
            <v>8455452.44</v>
          </cell>
          <cell r="O48">
            <v>7237746.14</v>
          </cell>
          <cell r="P48">
            <v>6872502.48</v>
          </cell>
          <cell r="Q48">
            <v>5428492.24</v>
          </cell>
          <cell r="R48">
            <v>4254448.37</v>
          </cell>
          <cell r="S48">
            <v>4252395.7</v>
          </cell>
          <cell r="T48">
            <v>61543238.26</v>
          </cell>
          <cell r="U48">
            <v>36161997.76</v>
          </cell>
          <cell r="V48">
            <v>35559846.99</v>
          </cell>
        </row>
        <row r="49">
          <cell r="A49" t="str">
            <v>Halishahar</v>
          </cell>
          <cell r="B49">
            <v>729236.33</v>
          </cell>
          <cell r="C49">
            <v>556561.57</v>
          </cell>
          <cell r="D49">
            <v>555380.24</v>
          </cell>
          <cell r="E49">
            <v>7464025.71</v>
          </cell>
          <cell r="F49">
            <v>6022285.27</v>
          </cell>
          <cell r="G49">
            <v>5934799.92</v>
          </cell>
          <cell r="H49">
            <v>12791267.39</v>
          </cell>
          <cell r="I49">
            <v>10381951.17</v>
          </cell>
          <cell r="J49">
            <v>10106117.92</v>
          </cell>
          <cell r="K49">
            <v>3319610.76</v>
          </cell>
          <cell r="L49">
            <v>3253893.99</v>
          </cell>
          <cell r="M49">
            <v>3036354.72</v>
          </cell>
          <cell r="N49">
            <v>4323141.27</v>
          </cell>
          <cell r="O49">
            <v>3301247.19</v>
          </cell>
          <cell r="P49">
            <v>3296946.33</v>
          </cell>
          <cell r="Q49">
            <v>945480.55</v>
          </cell>
          <cell r="R49">
            <v>945693.27</v>
          </cell>
          <cell r="S49">
            <v>945480.55</v>
          </cell>
          <cell r="T49">
            <v>29572762.01</v>
          </cell>
          <cell r="U49">
            <v>24461632.46</v>
          </cell>
          <cell r="V49">
            <v>23875079.68</v>
          </cell>
        </row>
        <row r="50">
          <cell r="A50" t="str">
            <v>Hasnabad</v>
          </cell>
          <cell r="B50">
            <v>2542011.18</v>
          </cell>
          <cell r="C50">
            <v>1288476.06</v>
          </cell>
          <cell r="D50">
            <v>1161555.88</v>
          </cell>
          <cell r="E50">
            <v>15761562.38</v>
          </cell>
          <cell r="F50">
            <v>10438344.2</v>
          </cell>
          <cell r="G50">
            <v>10011959.21</v>
          </cell>
          <cell r="H50">
            <v>8951813.01</v>
          </cell>
          <cell r="I50">
            <v>5796498.61</v>
          </cell>
          <cell r="J50">
            <v>5402094.78</v>
          </cell>
          <cell r="K50">
            <v>2386537.31</v>
          </cell>
          <cell r="L50">
            <v>2566027.61</v>
          </cell>
          <cell r="M50">
            <v>1993984.66</v>
          </cell>
          <cell r="N50">
            <v>4920218.63</v>
          </cell>
          <cell r="O50">
            <v>2878791.97</v>
          </cell>
          <cell r="P50">
            <v>2407280.88</v>
          </cell>
          <cell r="Q50">
            <v>3327620.06</v>
          </cell>
          <cell r="R50">
            <v>2751828.46</v>
          </cell>
          <cell r="S50">
            <v>2367922.95</v>
          </cell>
          <cell r="T50">
            <v>37889762.57</v>
          </cell>
          <cell r="U50">
            <v>25719966.91</v>
          </cell>
          <cell r="V50">
            <v>23344798.36</v>
          </cell>
        </row>
        <row r="51">
          <cell r="A51" t="str">
            <v>Hathazari</v>
          </cell>
          <cell r="B51">
            <v>2039478.08</v>
          </cell>
          <cell r="C51">
            <v>983879.69</v>
          </cell>
          <cell r="D51">
            <v>983186.68</v>
          </cell>
          <cell r="E51">
            <v>14659413.9</v>
          </cell>
          <cell r="F51">
            <v>10539842.35</v>
          </cell>
          <cell r="G51">
            <v>10221984.04</v>
          </cell>
          <cell r="H51">
            <v>20068003.38</v>
          </cell>
          <cell r="I51">
            <v>11107520.07</v>
          </cell>
          <cell r="J51">
            <v>10908788.5</v>
          </cell>
          <cell r="K51">
            <v>6024076.93</v>
          </cell>
          <cell r="L51">
            <v>4888906.7</v>
          </cell>
          <cell r="M51">
            <v>4611392.16</v>
          </cell>
          <cell r="N51">
            <v>2147831.5</v>
          </cell>
          <cell r="O51">
            <v>2150020.26</v>
          </cell>
          <cell r="P51">
            <v>2147831.5</v>
          </cell>
          <cell r="Q51">
            <v>874372.9</v>
          </cell>
          <cell r="R51">
            <v>874838.38</v>
          </cell>
          <cell r="S51">
            <v>874372.9</v>
          </cell>
          <cell r="T51">
            <v>45813176.69</v>
          </cell>
          <cell r="U51">
            <v>30545007.45</v>
          </cell>
          <cell r="V51">
            <v>29747555.78</v>
          </cell>
        </row>
        <row r="52">
          <cell r="A52" t="str">
            <v>Hazigonj</v>
          </cell>
          <cell r="B52">
            <v>2905211.1</v>
          </cell>
          <cell r="C52">
            <v>1951989.92</v>
          </cell>
          <cell r="D52">
            <v>1948598.37</v>
          </cell>
          <cell r="E52">
            <v>17556975.68</v>
          </cell>
          <cell r="F52">
            <v>12952669.76</v>
          </cell>
          <cell r="G52">
            <v>12619430.93</v>
          </cell>
          <cell r="H52">
            <v>11910849.23</v>
          </cell>
          <cell r="I52">
            <v>8074395.82</v>
          </cell>
          <cell r="J52">
            <v>8058984.91</v>
          </cell>
          <cell r="K52">
            <v>5813337.79</v>
          </cell>
          <cell r="L52">
            <v>3145169.66</v>
          </cell>
          <cell r="M52">
            <v>2935663.11</v>
          </cell>
          <cell r="N52">
            <v>1036588.52</v>
          </cell>
          <cell r="O52">
            <v>1036799.13</v>
          </cell>
          <cell r="P52">
            <v>1036588.52</v>
          </cell>
          <cell r="Q52">
            <v>978804.01</v>
          </cell>
          <cell r="R52">
            <v>980414.8</v>
          </cell>
          <cell r="S52">
            <v>978804.01</v>
          </cell>
          <cell r="T52">
            <v>40201766.33</v>
          </cell>
          <cell r="U52">
            <v>28141439.09</v>
          </cell>
          <cell r="V52">
            <v>27578069.85</v>
          </cell>
        </row>
        <row r="53">
          <cell r="A53" t="str">
            <v>Hobigonj</v>
          </cell>
          <cell r="B53">
            <v>10041338.23</v>
          </cell>
          <cell r="C53">
            <v>8562038.95</v>
          </cell>
          <cell r="D53">
            <v>8406168.67000001</v>
          </cell>
          <cell r="E53">
            <v>21393415.33</v>
          </cell>
          <cell r="F53">
            <v>18178178.01</v>
          </cell>
          <cell r="G53">
            <v>17833656.87</v>
          </cell>
          <cell r="H53">
            <v>2355361.81</v>
          </cell>
          <cell r="I53">
            <v>1853956.95</v>
          </cell>
          <cell r="J53">
            <v>1851816.63</v>
          </cell>
          <cell r="K53">
            <v>239244</v>
          </cell>
          <cell r="L53">
            <v>239244</v>
          </cell>
          <cell r="M53">
            <v>239244</v>
          </cell>
          <cell r="N53">
            <v>1415859.69</v>
          </cell>
          <cell r="O53">
            <v>145000</v>
          </cell>
          <cell r="P53">
            <v>145000</v>
          </cell>
        </row>
        <row r="53">
          <cell r="T53">
            <v>35445219.06</v>
          </cell>
          <cell r="U53">
            <v>28978417.91</v>
          </cell>
          <cell r="V53">
            <v>28475886.17</v>
          </cell>
        </row>
        <row r="54">
          <cell r="A54" t="str">
            <v>Imamgonj</v>
          </cell>
          <cell r="B54">
            <v>729323.6</v>
          </cell>
          <cell r="C54">
            <v>439069.31</v>
          </cell>
          <cell r="D54">
            <v>415946.08</v>
          </cell>
          <cell r="E54">
            <v>6999849.45</v>
          </cell>
          <cell r="F54">
            <v>5504757.44</v>
          </cell>
          <cell r="G54">
            <v>5371162.89</v>
          </cell>
          <cell r="H54">
            <v>15537709.77</v>
          </cell>
          <cell r="I54">
            <v>14288177.49</v>
          </cell>
          <cell r="J54">
            <v>14236748.1</v>
          </cell>
          <cell r="K54">
            <v>6677204.26</v>
          </cell>
          <cell r="L54">
            <v>6546427.76</v>
          </cell>
          <cell r="M54">
            <v>6531528.15</v>
          </cell>
          <cell r="N54">
            <v>8941179.41</v>
          </cell>
          <cell r="O54">
            <v>8948722.25</v>
          </cell>
          <cell r="P54">
            <v>8745857.7</v>
          </cell>
          <cell r="Q54">
            <v>8556441.81</v>
          </cell>
          <cell r="R54">
            <v>7723096.59</v>
          </cell>
          <cell r="S54">
            <v>7704046.81</v>
          </cell>
          <cell r="T54">
            <v>47441708.3</v>
          </cell>
          <cell r="U54">
            <v>43450250.84</v>
          </cell>
          <cell r="V54">
            <v>43005289.73</v>
          </cell>
        </row>
        <row r="55">
          <cell r="A55" t="str">
            <v>Ishwardi</v>
          </cell>
          <cell r="B55">
            <v>1406911.5</v>
          </cell>
          <cell r="C55">
            <v>632188.99</v>
          </cell>
          <cell r="D55">
            <v>631623.39</v>
          </cell>
          <cell r="E55">
            <v>11932341.43</v>
          </cell>
          <cell r="F55">
            <v>7703494.66</v>
          </cell>
          <cell r="G55">
            <v>7512171.34000001</v>
          </cell>
          <cell r="H55">
            <v>17655879.59</v>
          </cell>
          <cell r="I55">
            <v>12960917.21</v>
          </cell>
          <cell r="J55">
            <v>12658969.25</v>
          </cell>
          <cell r="K55">
            <v>4598677.74</v>
          </cell>
          <cell r="L55">
            <v>3563300.53</v>
          </cell>
          <cell r="M55">
            <v>3560356.79</v>
          </cell>
          <cell r="N55">
            <v>8312409.61</v>
          </cell>
          <cell r="O55">
            <v>7836197.49</v>
          </cell>
          <cell r="P55">
            <v>7833060.92</v>
          </cell>
          <cell r="Q55">
            <v>7876794.03</v>
          </cell>
          <cell r="R55">
            <v>3799332.96</v>
          </cell>
          <cell r="S55">
            <v>3623653.79</v>
          </cell>
          <cell r="T55">
            <v>51783013.9</v>
          </cell>
          <cell r="U55">
            <v>36495431.84</v>
          </cell>
          <cell r="V55">
            <v>35819835.48</v>
          </cell>
        </row>
        <row r="56">
          <cell r="A56" t="str">
            <v>Islambagh</v>
          </cell>
          <cell r="B56">
            <v>689073.78</v>
          </cell>
          <cell r="C56">
            <v>443859.67</v>
          </cell>
          <cell r="D56">
            <v>443538.94</v>
          </cell>
          <cell r="E56">
            <v>7266751.22</v>
          </cell>
          <cell r="F56">
            <v>4774273.3</v>
          </cell>
          <cell r="G56">
            <v>4768915.99</v>
          </cell>
          <cell r="H56">
            <v>10840913.46</v>
          </cell>
          <cell r="I56">
            <v>9673240.49</v>
          </cell>
          <cell r="J56">
            <v>9659212.75</v>
          </cell>
          <cell r="K56">
            <v>5083210.26</v>
          </cell>
          <cell r="L56">
            <v>4776625.66</v>
          </cell>
          <cell r="M56">
            <v>4772117.42</v>
          </cell>
          <cell r="N56">
            <v>6241442.5</v>
          </cell>
          <cell r="O56">
            <v>5750960.54</v>
          </cell>
          <cell r="P56">
            <v>5749861.76</v>
          </cell>
          <cell r="Q56">
            <v>4802059.03</v>
          </cell>
          <cell r="R56">
            <v>4803079.51</v>
          </cell>
          <cell r="S56">
            <v>4802059.03</v>
          </cell>
          <cell r="T56">
            <v>34923450.25</v>
          </cell>
          <cell r="U56">
            <v>30222039.17</v>
          </cell>
          <cell r="V56">
            <v>30195705.89</v>
          </cell>
        </row>
        <row r="57">
          <cell r="A57" t="str">
            <v>Islampur Road</v>
          </cell>
          <cell r="B57">
            <v>806225.51</v>
          </cell>
          <cell r="C57">
            <v>276244.16</v>
          </cell>
          <cell r="D57">
            <v>274914.9</v>
          </cell>
          <cell r="E57">
            <v>32171365.83</v>
          </cell>
          <cell r="F57">
            <v>18480328.56</v>
          </cell>
          <cell r="G57">
            <v>17099090.68</v>
          </cell>
          <cell r="H57">
            <v>34301728.25</v>
          </cell>
          <cell r="I57">
            <v>28967696.7</v>
          </cell>
          <cell r="J57">
            <v>24873506.23</v>
          </cell>
          <cell r="K57">
            <v>10568806.81</v>
          </cell>
          <cell r="L57">
            <v>7028969.74</v>
          </cell>
          <cell r="M57">
            <v>7023975.59</v>
          </cell>
          <cell r="N57">
            <v>7363612.45</v>
          </cell>
          <cell r="O57">
            <v>5773794.68</v>
          </cell>
          <cell r="P57">
            <v>5760969.22</v>
          </cell>
          <cell r="Q57">
            <v>6260287.89</v>
          </cell>
          <cell r="R57">
            <v>5062769.34</v>
          </cell>
          <cell r="S57">
            <v>5060658.21</v>
          </cell>
          <cell r="T57">
            <v>91472026.74</v>
          </cell>
          <cell r="U57">
            <v>65589803.18</v>
          </cell>
          <cell r="V57">
            <v>60093114.83</v>
          </cell>
        </row>
        <row r="58">
          <cell r="A58" t="str">
            <v>Jamalpur</v>
          </cell>
          <cell r="B58">
            <v>198315.63</v>
          </cell>
          <cell r="C58">
            <v>198631.66</v>
          </cell>
          <cell r="D58">
            <v>198315.63</v>
          </cell>
          <cell r="E58">
            <v>2569606.72</v>
          </cell>
          <cell r="F58">
            <v>2425379.42</v>
          </cell>
          <cell r="G58">
            <v>2423903.49</v>
          </cell>
          <cell r="H58">
            <v>2190944.06</v>
          </cell>
          <cell r="I58">
            <v>2021754.33</v>
          </cell>
          <cell r="J58">
            <v>2019154.8</v>
          </cell>
        </row>
        <row r="58">
          <cell r="T58">
            <v>4958866.41</v>
          </cell>
          <cell r="U58">
            <v>4645765.41</v>
          </cell>
          <cell r="V58">
            <v>4641373.92</v>
          </cell>
        </row>
        <row r="59">
          <cell r="A59" t="str">
            <v>Jatrabari</v>
          </cell>
          <cell r="B59">
            <v>1882457.73</v>
          </cell>
          <cell r="C59">
            <v>312784.84</v>
          </cell>
          <cell r="D59">
            <v>269988.28</v>
          </cell>
          <cell r="E59">
            <v>14464780.4</v>
          </cell>
          <cell r="F59">
            <v>10121987.85</v>
          </cell>
          <cell r="G59">
            <v>9971439.55</v>
          </cell>
          <cell r="H59">
            <v>21168072.07</v>
          </cell>
          <cell r="I59">
            <v>15464028.28</v>
          </cell>
          <cell r="J59">
            <v>14781750.31</v>
          </cell>
          <cell r="K59">
            <v>7831839.43</v>
          </cell>
          <cell r="L59">
            <v>5046513.82</v>
          </cell>
          <cell r="M59">
            <v>4926728.15</v>
          </cell>
          <cell r="N59">
            <v>4499206.62</v>
          </cell>
          <cell r="O59">
            <v>3223768.64</v>
          </cell>
          <cell r="P59">
            <v>3218986.95</v>
          </cell>
          <cell r="Q59">
            <v>4256247.84</v>
          </cell>
          <cell r="R59">
            <v>3569438.69</v>
          </cell>
          <cell r="S59">
            <v>3568048.84</v>
          </cell>
          <cell r="T59">
            <v>54102604.09</v>
          </cell>
          <cell r="U59">
            <v>37738522.12</v>
          </cell>
          <cell r="V59">
            <v>36736942.08</v>
          </cell>
        </row>
        <row r="60">
          <cell r="A60" t="str">
            <v>Jessore</v>
          </cell>
          <cell r="B60">
            <v>2114407.63</v>
          </cell>
          <cell r="C60">
            <v>1276647.3</v>
          </cell>
          <cell r="D60">
            <v>1211858.32</v>
          </cell>
          <cell r="E60">
            <v>17372292.14</v>
          </cell>
          <cell r="F60">
            <v>11981630.53</v>
          </cell>
          <cell r="G60">
            <v>11407629.85</v>
          </cell>
          <cell r="H60">
            <v>29393319.11</v>
          </cell>
          <cell r="I60">
            <v>20335307.16</v>
          </cell>
          <cell r="J60">
            <v>20151326.79</v>
          </cell>
          <cell r="K60">
            <v>7008651.2</v>
          </cell>
          <cell r="L60">
            <v>5176785.77</v>
          </cell>
          <cell r="M60">
            <v>5173342.19</v>
          </cell>
          <cell r="N60">
            <v>7280191.23</v>
          </cell>
          <cell r="O60">
            <v>6209622.63</v>
          </cell>
          <cell r="P60">
            <v>6187945.15</v>
          </cell>
          <cell r="Q60">
            <v>1093732.52</v>
          </cell>
          <cell r="R60">
            <v>1093933.65</v>
          </cell>
          <cell r="S60">
            <v>1093732.52</v>
          </cell>
          <cell r="T60">
            <v>64262593.83</v>
          </cell>
          <cell r="U60">
            <v>46073927.04</v>
          </cell>
          <cell r="V60">
            <v>45225834.82</v>
          </cell>
        </row>
        <row r="61">
          <cell r="A61" t="str">
            <v>Jhenaidah</v>
          </cell>
          <cell r="B61">
            <v>2726318.84</v>
          </cell>
          <cell r="C61">
            <v>1697074.01</v>
          </cell>
          <cell r="D61">
            <v>1624770.28</v>
          </cell>
          <cell r="E61">
            <v>9096342.8</v>
          </cell>
          <cell r="F61">
            <v>6886389.5</v>
          </cell>
          <cell r="G61">
            <v>6667258.83</v>
          </cell>
          <cell r="H61">
            <v>15703381.84</v>
          </cell>
          <cell r="I61">
            <v>13250303.33</v>
          </cell>
          <cell r="J61">
            <v>13111804.67</v>
          </cell>
          <cell r="K61">
            <v>2717340.82</v>
          </cell>
          <cell r="L61">
            <v>2532948.27</v>
          </cell>
          <cell r="M61">
            <v>2453269.96</v>
          </cell>
          <cell r="N61">
            <v>1116946.74</v>
          </cell>
          <cell r="O61">
            <v>1117367.87</v>
          </cell>
          <cell r="P61">
            <v>1116946.74</v>
          </cell>
          <cell r="Q61">
            <v>1405817.29</v>
          </cell>
          <cell r="R61">
            <v>1407531.48</v>
          </cell>
          <cell r="S61">
            <v>1405817.29</v>
          </cell>
          <cell r="T61">
            <v>32766148.33</v>
          </cell>
          <cell r="U61">
            <v>26891614.46</v>
          </cell>
          <cell r="V61">
            <v>26379867.77</v>
          </cell>
        </row>
        <row r="62">
          <cell r="A62" t="str">
            <v>Jikorgacha</v>
          </cell>
          <cell r="B62">
            <v>2835273.15</v>
          </cell>
          <cell r="C62">
            <v>2098468.17</v>
          </cell>
          <cell r="D62">
            <v>2088416.65</v>
          </cell>
          <cell r="E62">
            <v>13016299.68</v>
          </cell>
          <cell r="F62">
            <v>8912866.41</v>
          </cell>
          <cell r="G62">
            <v>8595288.88</v>
          </cell>
          <cell r="H62">
            <v>16596060.72</v>
          </cell>
          <cell r="I62">
            <v>13762269.61</v>
          </cell>
          <cell r="J62">
            <v>12981578.03</v>
          </cell>
          <cell r="K62">
            <v>2052446.56</v>
          </cell>
          <cell r="L62">
            <v>1506991.11</v>
          </cell>
          <cell r="M62">
            <v>1496648.29</v>
          </cell>
          <cell r="N62">
            <v>3585228.12</v>
          </cell>
          <cell r="O62">
            <v>3586319.69</v>
          </cell>
          <cell r="P62">
            <v>3585228.12</v>
          </cell>
          <cell r="Q62">
            <v>438021.38</v>
          </cell>
          <cell r="R62">
            <v>438374.22</v>
          </cell>
          <cell r="S62">
            <v>438021.38</v>
          </cell>
          <cell r="T62">
            <v>38523329.61</v>
          </cell>
          <cell r="U62">
            <v>30305289.21</v>
          </cell>
          <cell r="V62">
            <v>29185181.35</v>
          </cell>
        </row>
        <row r="63">
          <cell r="A63" t="str">
            <v>Joydebpur</v>
          </cell>
          <cell r="B63">
            <v>633819.02</v>
          </cell>
          <cell r="C63">
            <v>247817.82</v>
          </cell>
          <cell r="D63">
            <v>247781</v>
          </cell>
          <cell r="E63">
            <v>9630604.33</v>
          </cell>
          <cell r="F63">
            <v>7167206.5</v>
          </cell>
          <cell r="G63">
            <v>6561574.32</v>
          </cell>
          <cell r="H63">
            <v>18727372.37</v>
          </cell>
          <cell r="I63">
            <v>13106608.99</v>
          </cell>
          <cell r="J63">
            <v>13084529.17</v>
          </cell>
          <cell r="K63">
            <v>3899332.49</v>
          </cell>
          <cell r="L63">
            <v>3472323.35</v>
          </cell>
          <cell r="M63">
            <v>3282218.97</v>
          </cell>
          <cell r="N63">
            <v>1431436.03</v>
          </cell>
          <cell r="O63">
            <v>1433063.66</v>
          </cell>
          <cell r="P63">
            <v>1431436.03</v>
          </cell>
          <cell r="Q63">
            <v>2914785.58</v>
          </cell>
          <cell r="R63">
            <v>2345707.49</v>
          </cell>
          <cell r="S63">
            <v>2344326.47</v>
          </cell>
          <cell r="T63">
            <v>37237349.82</v>
          </cell>
          <cell r="U63">
            <v>27772727.81</v>
          </cell>
          <cell r="V63">
            <v>26951865.96</v>
          </cell>
        </row>
        <row r="64">
          <cell r="A64" t="str">
            <v>Joypurhat</v>
          </cell>
          <cell r="B64">
            <v>678577.42</v>
          </cell>
          <cell r="C64">
            <v>486537.78</v>
          </cell>
          <cell r="D64">
            <v>486358.43</v>
          </cell>
          <cell r="E64">
            <v>5013497.23</v>
          </cell>
          <cell r="F64">
            <v>1916263.9</v>
          </cell>
          <cell r="G64">
            <v>1914723.89</v>
          </cell>
          <cell r="H64">
            <v>9412065.99</v>
          </cell>
          <cell r="I64">
            <v>5414265.14</v>
          </cell>
          <cell r="J64">
            <v>5410514.4</v>
          </cell>
          <cell r="K64">
            <v>1098885.55</v>
          </cell>
          <cell r="L64">
            <v>913692.89</v>
          </cell>
          <cell r="M64">
            <v>913619.1</v>
          </cell>
          <cell r="N64">
            <v>4731490.33</v>
          </cell>
          <cell r="O64">
            <v>5608781.65</v>
          </cell>
          <cell r="P64">
            <v>4731490.33</v>
          </cell>
          <cell r="Q64">
            <v>12155018.65</v>
          </cell>
          <cell r="R64">
            <v>2675782.03</v>
          </cell>
          <cell r="S64">
            <v>2674809.15</v>
          </cell>
          <cell r="T64">
            <v>33089535.17</v>
          </cell>
          <cell r="U64">
            <v>17015323.39</v>
          </cell>
          <cell r="V64">
            <v>16131515.3</v>
          </cell>
        </row>
        <row r="65">
          <cell r="A65" t="str">
            <v>Kadamtali</v>
          </cell>
          <cell r="B65">
            <v>984508.54</v>
          </cell>
          <cell r="C65">
            <v>99193.07</v>
          </cell>
          <cell r="D65">
            <v>99180.5</v>
          </cell>
          <cell r="E65">
            <v>19096070.76</v>
          </cell>
          <cell r="F65">
            <v>7469603.73</v>
          </cell>
          <cell r="G65">
            <v>6860730.15</v>
          </cell>
          <cell r="H65">
            <v>19142430.21</v>
          </cell>
          <cell r="I65">
            <v>10037683.05</v>
          </cell>
          <cell r="J65">
            <v>9798950.87</v>
          </cell>
          <cell r="K65">
            <v>2365654.28</v>
          </cell>
          <cell r="L65">
            <v>1942300.66</v>
          </cell>
          <cell r="M65">
            <v>1934262.08</v>
          </cell>
          <cell r="N65">
            <v>2926473.43</v>
          </cell>
          <cell r="O65">
            <v>2560870.78</v>
          </cell>
          <cell r="P65">
            <v>2556875.6</v>
          </cell>
        </row>
        <row r="65">
          <cell r="T65">
            <v>44515137.22</v>
          </cell>
          <cell r="U65">
            <v>22109651.29</v>
          </cell>
          <cell r="V65">
            <v>21249999.2</v>
          </cell>
        </row>
        <row r="66">
          <cell r="A66" t="str">
            <v>Kaliakair</v>
          </cell>
        </row>
        <row r="66">
          <cell r="E66">
            <v>98644.45</v>
          </cell>
        </row>
        <row r="66">
          <cell r="G66">
            <v>0</v>
          </cell>
        </row>
        <row r="66">
          <cell r="N66">
            <v>380334.58</v>
          </cell>
        </row>
        <row r="66">
          <cell r="P66">
            <v>0</v>
          </cell>
        </row>
        <row r="66">
          <cell r="T66">
            <v>478979.03</v>
          </cell>
        </row>
        <row r="66">
          <cell r="V66">
            <v>0</v>
          </cell>
        </row>
        <row r="67">
          <cell r="A67" t="str">
            <v>Kalurghat</v>
          </cell>
          <cell r="B67">
            <v>372946.62</v>
          </cell>
          <cell r="C67">
            <v>89315.3</v>
          </cell>
          <cell r="D67">
            <v>89315.3</v>
          </cell>
          <cell r="E67">
            <v>7541123.98</v>
          </cell>
          <cell r="F67">
            <v>4246039.97</v>
          </cell>
          <cell r="G67">
            <v>4188673.8</v>
          </cell>
          <cell r="H67">
            <v>15819615.93</v>
          </cell>
          <cell r="I67">
            <v>9958712.69</v>
          </cell>
          <cell r="J67">
            <v>9677265.65</v>
          </cell>
          <cell r="K67">
            <v>3393853.9</v>
          </cell>
          <cell r="L67">
            <v>2916981.44</v>
          </cell>
          <cell r="M67">
            <v>2725814.48</v>
          </cell>
          <cell r="N67">
            <v>1462062.13</v>
          </cell>
          <cell r="O67">
            <v>1940873.09</v>
          </cell>
          <cell r="P67">
            <v>1462062.13</v>
          </cell>
          <cell r="Q67">
            <v>2397626.29</v>
          </cell>
          <cell r="R67">
            <v>2404222.24</v>
          </cell>
          <cell r="S67">
            <v>2397626.29</v>
          </cell>
          <cell r="T67">
            <v>30987228.85</v>
          </cell>
          <cell r="U67">
            <v>21556144.73</v>
          </cell>
          <cell r="V67">
            <v>20540757.65</v>
          </cell>
        </row>
        <row r="68">
          <cell r="A68" t="str">
            <v>Kamrangirchar</v>
          </cell>
          <cell r="B68">
            <v>2293350.36</v>
          </cell>
          <cell r="C68">
            <v>1202210.6</v>
          </cell>
          <cell r="D68">
            <v>1121714.77</v>
          </cell>
          <cell r="E68">
            <v>8795100.58</v>
          </cell>
          <cell r="F68">
            <v>6161552.37</v>
          </cell>
          <cell r="G68">
            <v>6155555.55</v>
          </cell>
          <cell r="H68">
            <v>21820025.46</v>
          </cell>
          <cell r="I68">
            <v>15518412.05</v>
          </cell>
          <cell r="J68">
            <v>15458311.65</v>
          </cell>
          <cell r="K68">
            <v>4781165.27</v>
          </cell>
          <cell r="L68">
            <v>3605386.54</v>
          </cell>
          <cell r="M68">
            <v>3604611.08</v>
          </cell>
          <cell r="N68">
            <v>3225531.38</v>
          </cell>
          <cell r="O68">
            <v>2878982.41</v>
          </cell>
          <cell r="P68">
            <v>2878368.06</v>
          </cell>
          <cell r="Q68">
            <v>475094.02</v>
          </cell>
          <cell r="R68">
            <v>476475.27</v>
          </cell>
          <cell r="S68">
            <v>475094.02</v>
          </cell>
          <cell r="T68">
            <v>41390267.07</v>
          </cell>
          <cell r="U68">
            <v>29843019.24</v>
          </cell>
          <cell r="V68">
            <v>29693655.13</v>
          </cell>
        </row>
        <row r="69">
          <cell r="A69" t="str">
            <v>Kazipara</v>
          </cell>
          <cell r="B69">
            <v>1909047.58</v>
          </cell>
          <cell r="C69">
            <v>408042.36</v>
          </cell>
          <cell r="D69">
            <v>345876.96</v>
          </cell>
          <cell r="E69">
            <v>5963358.94</v>
          </cell>
          <cell r="F69">
            <v>3956053.29</v>
          </cell>
          <cell r="G69">
            <v>3767930.93</v>
          </cell>
          <cell r="H69">
            <v>7481415.78</v>
          </cell>
          <cell r="I69">
            <v>5530781.92</v>
          </cell>
          <cell r="J69">
            <v>5526124.25</v>
          </cell>
          <cell r="K69">
            <v>2827652.52</v>
          </cell>
          <cell r="L69">
            <v>1477023.94</v>
          </cell>
          <cell r="M69">
            <v>1477023.94</v>
          </cell>
          <cell r="N69">
            <v>2580380.17</v>
          </cell>
          <cell r="O69">
            <v>2623191.24</v>
          </cell>
          <cell r="P69">
            <v>2289823.69</v>
          </cell>
          <cell r="Q69">
            <v>3496787.89</v>
          </cell>
          <cell r="R69">
            <v>3417336.94</v>
          </cell>
          <cell r="S69">
            <v>2991378.61</v>
          </cell>
          <cell r="T69">
            <v>24258642.88</v>
          </cell>
          <cell r="U69">
            <v>17412429.69</v>
          </cell>
          <cell r="V69">
            <v>16398158.38</v>
          </cell>
        </row>
        <row r="70">
          <cell r="A70" t="str">
            <v>Keranigonj</v>
          </cell>
          <cell r="B70">
            <v>2196212.1</v>
          </cell>
          <cell r="C70">
            <v>1275320.37</v>
          </cell>
          <cell r="D70">
            <v>1273195.73</v>
          </cell>
          <cell r="E70">
            <v>25915934.11</v>
          </cell>
          <cell r="F70">
            <v>14714556.99</v>
          </cell>
          <cell r="G70">
            <v>14520384.58</v>
          </cell>
          <cell r="H70">
            <v>24675822.7</v>
          </cell>
          <cell r="I70">
            <v>11632003.83</v>
          </cell>
          <cell r="J70">
            <v>11187673.7</v>
          </cell>
          <cell r="K70">
            <v>4141944.36</v>
          </cell>
          <cell r="L70">
            <v>4014161.27</v>
          </cell>
          <cell r="M70">
            <v>3829860.62</v>
          </cell>
          <cell r="N70">
            <v>2926567.59</v>
          </cell>
          <cell r="O70">
            <v>2928911.08</v>
          </cell>
          <cell r="P70">
            <v>2926567.59</v>
          </cell>
          <cell r="Q70">
            <v>1588067</v>
          </cell>
          <cell r="R70">
            <v>1595039</v>
          </cell>
          <cell r="S70">
            <v>1588067</v>
          </cell>
          <cell r="T70">
            <v>61444547.86</v>
          </cell>
          <cell r="U70">
            <v>36159992.54</v>
          </cell>
          <cell r="V70">
            <v>35325749.22</v>
          </cell>
        </row>
        <row r="71">
          <cell r="A71" t="str">
            <v>Keshobpur</v>
          </cell>
          <cell r="B71">
            <v>3346967.79</v>
          </cell>
          <cell r="C71">
            <v>2331266.01</v>
          </cell>
          <cell r="D71">
            <v>2328395.63</v>
          </cell>
          <cell r="E71">
            <v>15369757.66</v>
          </cell>
          <cell r="F71">
            <v>11404777.86</v>
          </cell>
          <cell r="G71">
            <v>10909088.57</v>
          </cell>
          <cell r="H71">
            <v>21202080.37</v>
          </cell>
          <cell r="I71">
            <v>15212501.41</v>
          </cell>
          <cell r="J71">
            <v>14767578.96</v>
          </cell>
          <cell r="K71">
            <v>5841023.42</v>
          </cell>
          <cell r="L71">
            <v>6284473.88</v>
          </cell>
          <cell r="M71">
            <v>5841023.42</v>
          </cell>
          <cell r="N71">
            <v>3176330.77</v>
          </cell>
          <cell r="O71">
            <v>3190445.75</v>
          </cell>
          <cell r="P71">
            <v>3176330.77</v>
          </cell>
          <cell r="Q71">
            <v>1419229.42</v>
          </cell>
          <cell r="R71">
            <v>1420023.73</v>
          </cell>
          <cell r="S71">
            <v>1419229.42</v>
          </cell>
          <cell r="T71">
            <v>50355389.43</v>
          </cell>
          <cell r="U71">
            <v>39843488.64</v>
          </cell>
          <cell r="V71">
            <v>38441646.77</v>
          </cell>
        </row>
        <row r="72">
          <cell r="A72" t="str">
            <v>Khatungonj</v>
          </cell>
          <cell r="B72">
            <v>154908.96</v>
          </cell>
          <cell r="C72">
            <v>21000</v>
          </cell>
          <cell r="D72">
            <v>21000</v>
          </cell>
          <cell r="E72">
            <v>7708599.25</v>
          </cell>
          <cell r="F72">
            <v>3455064.93</v>
          </cell>
          <cell r="G72">
            <v>3319676.59</v>
          </cell>
          <cell r="H72">
            <v>15594590.32</v>
          </cell>
          <cell r="I72">
            <v>11068858.27</v>
          </cell>
          <cell r="J72">
            <v>11015006.48</v>
          </cell>
          <cell r="K72">
            <v>8189650.76</v>
          </cell>
          <cell r="L72">
            <v>5662197.18</v>
          </cell>
          <cell r="M72">
            <v>5533949.59</v>
          </cell>
          <cell r="N72">
            <v>6645783.63</v>
          </cell>
          <cell r="O72">
            <v>6176181.14</v>
          </cell>
          <cell r="P72">
            <v>6172710.55</v>
          </cell>
          <cell r="Q72">
            <v>5471229.41</v>
          </cell>
          <cell r="R72">
            <v>4536934.71</v>
          </cell>
          <cell r="S72">
            <v>4532894.89</v>
          </cell>
          <cell r="T72">
            <v>43764762.33</v>
          </cell>
          <cell r="U72">
            <v>30920236.23</v>
          </cell>
          <cell r="V72">
            <v>30595238.1</v>
          </cell>
        </row>
        <row r="73">
          <cell r="A73" t="str">
            <v>Khulna</v>
          </cell>
          <cell r="B73">
            <v>3203609.58</v>
          </cell>
          <cell r="C73">
            <v>1128719.2</v>
          </cell>
          <cell r="D73">
            <v>1111954.36</v>
          </cell>
          <cell r="E73">
            <v>10995835.73</v>
          </cell>
          <cell r="F73">
            <v>7932573.14</v>
          </cell>
          <cell r="G73">
            <v>7924306.9</v>
          </cell>
          <cell r="H73">
            <v>22102753.87</v>
          </cell>
          <cell r="I73">
            <v>16818095.92</v>
          </cell>
          <cell r="J73">
            <v>16280406.35</v>
          </cell>
          <cell r="K73">
            <v>11221768.77</v>
          </cell>
          <cell r="L73">
            <v>10138689.42</v>
          </cell>
          <cell r="M73">
            <v>9975700.81</v>
          </cell>
          <cell r="N73">
            <v>10567085.19</v>
          </cell>
          <cell r="O73">
            <v>7932492.12</v>
          </cell>
          <cell r="P73">
            <v>7927652.96</v>
          </cell>
          <cell r="Q73">
            <v>5272197.68</v>
          </cell>
          <cell r="R73">
            <v>2945576.84</v>
          </cell>
          <cell r="S73">
            <v>2945576.84</v>
          </cell>
          <cell r="T73">
            <v>63363250.82</v>
          </cell>
          <cell r="U73">
            <v>46896146.64</v>
          </cell>
          <cell r="V73">
            <v>46165598.22</v>
          </cell>
        </row>
        <row r="74">
          <cell r="A74" t="str">
            <v>Konabari</v>
          </cell>
          <cell r="B74">
            <v>1293228.28</v>
          </cell>
          <cell r="C74">
            <v>238812.25</v>
          </cell>
          <cell r="D74">
            <v>238525.04</v>
          </cell>
          <cell r="E74">
            <v>11515007.22</v>
          </cell>
          <cell r="F74">
            <v>8708316.78</v>
          </cell>
          <cell r="G74">
            <v>8554012.84</v>
          </cell>
          <cell r="H74">
            <v>17127631.88</v>
          </cell>
          <cell r="I74">
            <v>15687421.35</v>
          </cell>
          <cell r="J74">
            <v>15502170.84</v>
          </cell>
          <cell r="K74">
            <v>3523400.83</v>
          </cell>
          <cell r="L74">
            <v>3702646.9</v>
          </cell>
          <cell r="M74">
            <v>3523400.83</v>
          </cell>
          <cell r="N74">
            <v>1386966.13</v>
          </cell>
          <cell r="O74">
            <v>727365.55</v>
          </cell>
          <cell r="P74">
            <v>720208.31</v>
          </cell>
          <cell r="Q74">
            <v>5294109.08</v>
          </cell>
          <cell r="R74">
            <v>2965269.45</v>
          </cell>
          <cell r="S74">
            <v>2958853.54</v>
          </cell>
          <cell r="T74">
            <v>40140343.42</v>
          </cell>
          <cell r="U74">
            <v>32029832.28</v>
          </cell>
          <cell r="V74">
            <v>31497171.4</v>
          </cell>
        </row>
        <row r="75">
          <cell r="A75" t="str">
            <v>Kosba</v>
          </cell>
          <cell r="B75">
            <v>5243222.77</v>
          </cell>
          <cell r="C75">
            <v>4233781.41</v>
          </cell>
          <cell r="D75">
            <v>4229882.78</v>
          </cell>
          <cell r="E75">
            <v>33672186.17</v>
          </cell>
          <cell r="F75">
            <v>29496077.83</v>
          </cell>
          <cell r="G75">
            <v>29148062.07</v>
          </cell>
          <cell r="H75">
            <v>3180203.01</v>
          </cell>
          <cell r="I75">
            <v>2375438.53</v>
          </cell>
          <cell r="J75">
            <v>2336678.5</v>
          </cell>
          <cell r="K75">
            <v>205065.78</v>
          </cell>
          <cell r="L75">
            <v>205345.5</v>
          </cell>
          <cell r="M75">
            <v>205065.78</v>
          </cell>
        </row>
        <row r="75">
          <cell r="T75">
            <v>42300677.73</v>
          </cell>
          <cell r="U75">
            <v>36310643.27</v>
          </cell>
          <cell r="V75">
            <v>35919689.13</v>
          </cell>
        </row>
        <row r="76">
          <cell r="A76" t="str">
            <v>Kotiadi</v>
          </cell>
          <cell r="B76">
            <v>6849879.76000001</v>
          </cell>
          <cell r="C76">
            <v>6004954.29</v>
          </cell>
          <cell r="D76">
            <v>5921214.54</v>
          </cell>
          <cell r="E76">
            <v>22526406.02</v>
          </cell>
          <cell r="F76">
            <v>18896915.95</v>
          </cell>
          <cell r="G76">
            <v>18353946.35</v>
          </cell>
          <cell r="H76">
            <v>2468487.4</v>
          </cell>
          <cell r="I76">
            <v>1998563.89</v>
          </cell>
          <cell r="J76">
            <v>1996523.75</v>
          </cell>
        </row>
        <row r="76">
          <cell r="T76">
            <v>31844773.18</v>
          </cell>
          <cell r="U76">
            <v>26900434.13</v>
          </cell>
          <cell r="V76">
            <v>26271684.64</v>
          </cell>
        </row>
        <row r="77">
          <cell r="A77" t="str">
            <v>Kulaura </v>
          </cell>
          <cell r="B77">
            <v>5401142.09</v>
          </cell>
          <cell r="C77">
            <v>4665992.24</v>
          </cell>
          <cell r="D77">
            <v>4662853.97</v>
          </cell>
          <cell r="E77">
            <v>11757993.88</v>
          </cell>
          <cell r="F77">
            <v>10985917.47</v>
          </cell>
          <cell r="G77">
            <v>10977793.73</v>
          </cell>
        </row>
        <row r="77">
          <cell r="T77">
            <v>17159135.97</v>
          </cell>
          <cell r="U77">
            <v>15651909.71</v>
          </cell>
          <cell r="V77">
            <v>15640647.7</v>
          </cell>
        </row>
        <row r="78">
          <cell r="A78" t="str">
            <v>Kurigram</v>
          </cell>
          <cell r="B78">
            <v>8515959.17</v>
          </cell>
          <cell r="C78">
            <v>5975079.48</v>
          </cell>
          <cell r="D78">
            <v>5555960.17</v>
          </cell>
          <cell r="E78">
            <v>11402579.68</v>
          </cell>
          <cell r="F78">
            <v>8554050.65</v>
          </cell>
          <cell r="G78">
            <v>8324746.44</v>
          </cell>
          <cell r="H78">
            <v>7641696.43</v>
          </cell>
          <cell r="I78">
            <v>7579139.74</v>
          </cell>
          <cell r="J78">
            <v>7311881.34</v>
          </cell>
          <cell r="K78">
            <v>2422845.35</v>
          </cell>
          <cell r="L78">
            <v>2426334.18</v>
          </cell>
          <cell r="M78">
            <v>2422845.35</v>
          </cell>
          <cell r="N78">
            <v>2382794.72</v>
          </cell>
          <cell r="O78">
            <v>1717332.64</v>
          </cell>
          <cell r="P78">
            <v>1702976.16</v>
          </cell>
          <cell r="Q78">
            <v>505409.28</v>
          </cell>
        </row>
        <row r="78">
          <cell r="S78">
            <v>0</v>
          </cell>
          <cell r="T78">
            <v>32871284.63</v>
          </cell>
          <cell r="U78">
            <v>26251936.69</v>
          </cell>
          <cell r="V78">
            <v>25318409.46</v>
          </cell>
        </row>
        <row r="79">
          <cell r="A79" t="str">
            <v>Kushtia</v>
          </cell>
          <cell r="B79">
            <v>3862400.35</v>
          </cell>
          <cell r="C79">
            <v>685428.21</v>
          </cell>
          <cell r="D79">
            <v>684637.21</v>
          </cell>
          <cell r="E79">
            <v>9376415.36</v>
          </cell>
          <cell r="F79">
            <v>4681442.66</v>
          </cell>
          <cell r="G79">
            <v>4451955.63</v>
          </cell>
          <cell r="H79">
            <v>17882455.53</v>
          </cell>
          <cell r="I79">
            <v>12531009.89</v>
          </cell>
          <cell r="J79">
            <v>12215585.89</v>
          </cell>
          <cell r="K79">
            <v>2635580.54</v>
          </cell>
          <cell r="L79">
            <v>2371765.81</v>
          </cell>
          <cell r="M79">
            <v>2371509.68</v>
          </cell>
          <cell r="N79">
            <v>2311692.63</v>
          </cell>
          <cell r="O79">
            <v>1622838.83</v>
          </cell>
          <cell r="P79">
            <v>1621710.02</v>
          </cell>
          <cell r="Q79">
            <v>2179015.02</v>
          </cell>
          <cell r="R79">
            <v>2179245.81</v>
          </cell>
          <cell r="S79">
            <v>2179015.02</v>
          </cell>
          <cell r="T79">
            <v>38247559.43</v>
          </cell>
          <cell r="U79">
            <v>24071731.21</v>
          </cell>
          <cell r="V79">
            <v>23524413.45</v>
          </cell>
        </row>
        <row r="80">
          <cell r="A80" t="str">
            <v>Laksham</v>
          </cell>
          <cell r="B80">
            <v>6187901.95</v>
          </cell>
          <cell r="C80">
            <v>4587883.42</v>
          </cell>
          <cell r="D80">
            <v>4333507.15</v>
          </cell>
          <cell r="E80">
            <v>17288630.69</v>
          </cell>
          <cell r="F80">
            <v>11601963.62</v>
          </cell>
          <cell r="G80">
            <v>11142554.19</v>
          </cell>
          <cell r="H80">
            <v>6757752.41</v>
          </cell>
          <cell r="I80">
            <v>4126375.88</v>
          </cell>
          <cell r="J80">
            <v>3901294.27</v>
          </cell>
          <cell r="K80">
            <v>895409.16</v>
          </cell>
          <cell r="L80">
            <v>896418.09</v>
          </cell>
          <cell r="M80">
            <v>895409.16</v>
          </cell>
        </row>
        <row r="80">
          <cell r="T80">
            <v>31129694.21</v>
          </cell>
          <cell r="U80">
            <v>21212641.01</v>
          </cell>
          <cell r="V80">
            <v>20272764.77</v>
          </cell>
        </row>
        <row r="81">
          <cell r="A81" t="str">
            <v>Laxmipur</v>
          </cell>
          <cell r="B81">
            <v>3291899.97</v>
          </cell>
          <cell r="C81">
            <v>2320736.46</v>
          </cell>
          <cell r="D81">
            <v>2195881.78</v>
          </cell>
          <cell r="E81">
            <v>13919239.27</v>
          </cell>
          <cell r="F81">
            <v>10236470.59</v>
          </cell>
          <cell r="G81">
            <v>9993574.15</v>
          </cell>
          <cell r="H81">
            <v>4842405.81</v>
          </cell>
          <cell r="I81">
            <v>4477130</v>
          </cell>
          <cell r="J81">
            <v>4116099.56</v>
          </cell>
          <cell r="K81">
            <v>1322332.84</v>
          </cell>
          <cell r="L81">
            <v>1113156.55</v>
          </cell>
          <cell r="M81">
            <v>1112354.7</v>
          </cell>
          <cell r="N81">
            <v>270515.95</v>
          </cell>
          <cell r="O81">
            <v>270515.95</v>
          </cell>
          <cell r="P81">
            <v>270515.95</v>
          </cell>
          <cell r="Q81">
            <v>501804.38</v>
          </cell>
          <cell r="R81">
            <v>501804.38</v>
          </cell>
          <cell r="S81">
            <v>501804.38</v>
          </cell>
          <cell r="T81">
            <v>24148198.22</v>
          </cell>
          <cell r="U81">
            <v>18919813.93</v>
          </cell>
          <cell r="V81">
            <v>18190230.52</v>
          </cell>
        </row>
        <row r="82">
          <cell r="A82" t="str">
            <v>Lohagora, CTG</v>
          </cell>
          <cell r="B82">
            <v>3319370.96</v>
          </cell>
          <cell r="C82">
            <v>2040009.85</v>
          </cell>
          <cell r="D82">
            <v>1931976.48</v>
          </cell>
          <cell r="E82">
            <v>14447154.53</v>
          </cell>
          <cell r="F82">
            <v>10582477.7</v>
          </cell>
          <cell r="G82">
            <v>10237252.49</v>
          </cell>
          <cell r="H82">
            <v>9380519.3</v>
          </cell>
          <cell r="I82">
            <v>8585057.54</v>
          </cell>
          <cell r="J82">
            <v>8266867.44</v>
          </cell>
          <cell r="K82">
            <v>1355633.47</v>
          </cell>
          <cell r="L82">
            <v>1275295.78</v>
          </cell>
          <cell r="M82">
            <v>1275133.6</v>
          </cell>
          <cell r="N82">
            <v>491397.11</v>
          </cell>
          <cell r="O82">
            <v>269272.89</v>
          </cell>
          <cell r="P82">
            <v>269272.89</v>
          </cell>
          <cell r="Q82">
            <v>618043.69</v>
          </cell>
          <cell r="R82">
            <v>619253.69</v>
          </cell>
          <cell r="S82">
            <v>618043.69</v>
          </cell>
          <cell r="T82">
            <v>29612119.06</v>
          </cell>
          <cell r="U82">
            <v>23371367.45</v>
          </cell>
          <cell r="V82">
            <v>22598546.59</v>
          </cell>
        </row>
        <row r="83">
          <cell r="A83" t="str">
            <v>Madhabpur</v>
          </cell>
          <cell r="B83">
            <v>8592113.44999999</v>
          </cell>
          <cell r="C83">
            <v>6791117.35</v>
          </cell>
          <cell r="D83">
            <v>6745838.42</v>
          </cell>
          <cell r="E83">
            <v>26312898.95</v>
          </cell>
          <cell r="F83">
            <v>23805716.09</v>
          </cell>
          <cell r="G83">
            <v>23514029.99</v>
          </cell>
          <cell r="H83">
            <v>4938149.15</v>
          </cell>
          <cell r="I83">
            <v>4468399.55</v>
          </cell>
          <cell r="J83">
            <v>4343370.86</v>
          </cell>
          <cell r="K83">
            <v>1391809.83</v>
          </cell>
          <cell r="L83">
            <v>1207366.78</v>
          </cell>
          <cell r="M83">
            <v>1206547.25</v>
          </cell>
        </row>
        <row r="83">
          <cell r="T83">
            <v>41234971.38</v>
          </cell>
          <cell r="U83">
            <v>36272599.77</v>
          </cell>
          <cell r="V83">
            <v>35809786.52</v>
          </cell>
        </row>
        <row r="84">
          <cell r="A84" t="str">
            <v>Magura</v>
          </cell>
          <cell r="B84">
            <v>4089348.59</v>
          </cell>
          <cell r="C84">
            <v>2617769.95</v>
          </cell>
          <cell r="D84">
            <v>2447867.17</v>
          </cell>
          <cell r="E84">
            <v>7384398.48</v>
          </cell>
          <cell r="F84">
            <v>5783680.95</v>
          </cell>
          <cell r="G84">
            <v>5776883.5</v>
          </cell>
          <cell r="H84">
            <v>8324682.56</v>
          </cell>
          <cell r="I84">
            <v>7705103.29</v>
          </cell>
          <cell r="J84">
            <v>6203824.82</v>
          </cell>
          <cell r="K84">
            <v>286662.09</v>
          </cell>
          <cell r="L84">
            <v>286662.09</v>
          </cell>
          <cell r="M84">
            <v>286662.09</v>
          </cell>
        </row>
        <row r="84">
          <cell r="T84">
            <v>20085091.72</v>
          </cell>
          <cell r="U84">
            <v>16393216.28</v>
          </cell>
          <cell r="V84">
            <v>14715237.58</v>
          </cell>
        </row>
        <row r="85">
          <cell r="A85" t="str">
            <v>Maijdee</v>
          </cell>
          <cell r="B85">
            <v>7160234.78</v>
          </cell>
          <cell r="C85">
            <v>4821080.6</v>
          </cell>
          <cell r="D85">
            <v>4796226.08</v>
          </cell>
          <cell r="E85">
            <v>21704181.47</v>
          </cell>
          <cell r="F85">
            <v>15702403.02</v>
          </cell>
          <cell r="G85">
            <v>14994373.9</v>
          </cell>
          <cell r="H85">
            <v>8507869.82</v>
          </cell>
          <cell r="I85">
            <v>6548209.03</v>
          </cell>
          <cell r="J85">
            <v>6417664.52</v>
          </cell>
          <cell r="K85">
            <v>271363.75</v>
          </cell>
          <cell r="L85">
            <v>271506.51</v>
          </cell>
          <cell r="M85">
            <v>271363.75</v>
          </cell>
        </row>
        <row r="85">
          <cell r="Q85">
            <v>0</v>
          </cell>
          <cell r="R85">
            <v>2365365.41</v>
          </cell>
          <cell r="S85">
            <v>0</v>
          </cell>
          <cell r="T85">
            <v>37643649.82</v>
          </cell>
          <cell r="U85">
            <v>29708564.57</v>
          </cell>
          <cell r="V85">
            <v>26479628.25</v>
          </cell>
        </row>
        <row r="86">
          <cell r="A86" t="str">
            <v>Manikgonj</v>
          </cell>
          <cell r="B86">
            <v>1640859.19</v>
          </cell>
          <cell r="C86">
            <v>1421211.26</v>
          </cell>
          <cell r="D86">
            <v>1419069.02</v>
          </cell>
          <cell r="E86">
            <v>4611667.22</v>
          </cell>
          <cell r="F86">
            <v>3604830.17</v>
          </cell>
          <cell r="G86">
            <v>3591204.03</v>
          </cell>
          <cell r="H86">
            <v>1066463.42</v>
          </cell>
          <cell r="I86">
            <v>1241232.99</v>
          </cell>
          <cell r="J86">
            <v>1052812.14</v>
          </cell>
          <cell r="K86">
            <v>1064262.43</v>
          </cell>
          <cell r="L86">
            <v>848200</v>
          </cell>
          <cell r="M86">
            <v>841419.17</v>
          </cell>
          <cell r="N86">
            <v>713600.21</v>
          </cell>
          <cell r="O86">
            <v>713600.21</v>
          </cell>
          <cell r="P86">
            <v>713600.21</v>
          </cell>
        </row>
        <row r="86">
          <cell r="T86">
            <v>9096852.47</v>
          </cell>
          <cell r="U86">
            <v>7829074.63</v>
          </cell>
          <cell r="V86">
            <v>7618104.57</v>
          </cell>
        </row>
        <row r="87">
          <cell r="A87" t="str">
            <v>Mirpur</v>
          </cell>
          <cell r="B87">
            <v>832583.83</v>
          </cell>
          <cell r="C87">
            <v>313756.35</v>
          </cell>
          <cell r="D87">
            <v>313248.09</v>
          </cell>
          <cell r="E87">
            <v>21398661.1</v>
          </cell>
          <cell r="F87">
            <v>10493233.8</v>
          </cell>
          <cell r="G87">
            <v>9960711.7</v>
          </cell>
          <cell r="H87">
            <v>21645809.29</v>
          </cell>
          <cell r="I87">
            <v>15036966.17</v>
          </cell>
          <cell r="J87">
            <v>14941827.45</v>
          </cell>
          <cell r="K87">
            <v>9577753.65</v>
          </cell>
          <cell r="L87">
            <v>7239234.38</v>
          </cell>
          <cell r="M87">
            <v>6850188.24</v>
          </cell>
          <cell r="N87">
            <v>5218232.26</v>
          </cell>
          <cell r="O87">
            <v>4885383.11</v>
          </cell>
          <cell r="P87">
            <v>4884662.14</v>
          </cell>
          <cell r="Q87">
            <v>3719801.71</v>
          </cell>
          <cell r="R87">
            <v>3721276.48</v>
          </cell>
          <cell r="S87">
            <v>3719801.71</v>
          </cell>
          <cell r="T87">
            <v>62392841.84</v>
          </cell>
          <cell r="U87">
            <v>41689850.29</v>
          </cell>
          <cell r="V87">
            <v>40670439.33</v>
          </cell>
        </row>
        <row r="88">
          <cell r="A88" t="str">
            <v>Moghbazar</v>
          </cell>
          <cell r="B88">
            <v>425155.56</v>
          </cell>
          <cell r="C88">
            <v>358092.83</v>
          </cell>
          <cell r="D88">
            <v>304686.15</v>
          </cell>
          <cell r="E88">
            <v>6856227.48</v>
          </cell>
          <cell r="F88">
            <v>5342307.68</v>
          </cell>
          <cell r="G88">
            <v>5194803.55</v>
          </cell>
          <cell r="H88">
            <v>16823722.07</v>
          </cell>
          <cell r="I88">
            <v>12308057.03</v>
          </cell>
          <cell r="J88">
            <v>11971099.85</v>
          </cell>
          <cell r="K88">
            <v>6192590.99</v>
          </cell>
          <cell r="L88">
            <v>6205524.55</v>
          </cell>
          <cell r="M88">
            <v>6192590.99</v>
          </cell>
          <cell r="N88">
            <v>5576879.3</v>
          </cell>
          <cell r="O88">
            <v>4997743.43</v>
          </cell>
          <cell r="P88">
            <v>4279932.71</v>
          </cell>
          <cell r="Q88">
            <v>4376119.18</v>
          </cell>
          <cell r="R88">
            <v>6692159.51</v>
          </cell>
          <cell r="S88">
            <v>4324679.1</v>
          </cell>
          <cell r="T88">
            <v>40250694.58</v>
          </cell>
          <cell r="U88">
            <v>35903885.03</v>
          </cell>
          <cell r="V88">
            <v>32267792.35</v>
          </cell>
        </row>
        <row r="89">
          <cell r="A89" t="str">
            <v>Mohammadpur</v>
          </cell>
          <cell r="B89">
            <v>896704.02</v>
          </cell>
          <cell r="C89">
            <v>567271.11</v>
          </cell>
          <cell r="D89">
            <v>566294.92</v>
          </cell>
          <cell r="E89">
            <v>10905617.83</v>
          </cell>
          <cell r="F89">
            <v>7824944.71</v>
          </cell>
          <cell r="G89">
            <v>7746002.89</v>
          </cell>
          <cell r="H89">
            <v>20629822.37</v>
          </cell>
          <cell r="I89">
            <v>12433658.78</v>
          </cell>
          <cell r="J89">
            <v>12031498.13</v>
          </cell>
          <cell r="K89">
            <v>3901305.5</v>
          </cell>
          <cell r="L89">
            <v>3053863.09</v>
          </cell>
          <cell r="M89">
            <v>3053768.76</v>
          </cell>
          <cell r="N89">
            <v>1893094.85</v>
          </cell>
          <cell r="O89">
            <v>2039160.6</v>
          </cell>
          <cell r="P89">
            <v>1786767.08</v>
          </cell>
        </row>
        <row r="89">
          <cell r="T89">
            <v>38226544.57</v>
          </cell>
          <cell r="U89">
            <v>25918898.29</v>
          </cell>
          <cell r="V89">
            <v>25184331.78</v>
          </cell>
        </row>
        <row r="90">
          <cell r="A90" t="str">
            <v>Mymensingh</v>
          </cell>
          <cell r="B90">
            <v>1256099.4</v>
          </cell>
          <cell r="C90">
            <v>185438.31</v>
          </cell>
          <cell r="D90">
            <v>183984.51</v>
          </cell>
          <cell r="E90">
            <v>28110783.92</v>
          </cell>
          <cell r="F90">
            <v>19994691.29</v>
          </cell>
          <cell r="G90">
            <v>18893758.42</v>
          </cell>
          <cell r="H90">
            <v>24637589.36</v>
          </cell>
          <cell r="I90">
            <v>20831498.41</v>
          </cell>
          <cell r="J90">
            <v>20189933.97</v>
          </cell>
          <cell r="K90">
            <v>4257503.17</v>
          </cell>
          <cell r="L90">
            <v>3986249.69</v>
          </cell>
          <cell r="M90">
            <v>3978391.89</v>
          </cell>
          <cell r="N90">
            <v>3154463.05</v>
          </cell>
          <cell r="O90">
            <v>1552302.47</v>
          </cell>
          <cell r="P90">
            <v>1551729.2</v>
          </cell>
          <cell r="Q90">
            <v>5169802.3</v>
          </cell>
          <cell r="R90">
            <v>4564148.7</v>
          </cell>
          <cell r="S90">
            <v>4563224.18</v>
          </cell>
          <cell r="T90">
            <v>66586241.2</v>
          </cell>
          <cell r="U90">
            <v>51114328.87</v>
          </cell>
          <cell r="V90">
            <v>49361022.17</v>
          </cell>
        </row>
        <row r="91">
          <cell r="A91" t="str">
            <v>Nangolkot</v>
          </cell>
          <cell r="B91">
            <v>11296705.79</v>
          </cell>
          <cell r="C91">
            <v>10406463.07</v>
          </cell>
          <cell r="D91">
            <v>10370718.05</v>
          </cell>
          <cell r="E91">
            <v>29047018.11</v>
          </cell>
          <cell r="F91">
            <v>25841822.61</v>
          </cell>
          <cell r="G91">
            <v>25589849.51</v>
          </cell>
          <cell r="H91">
            <v>1758511.06</v>
          </cell>
          <cell r="I91">
            <v>1571951.17</v>
          </cell>
          <cell r="J91">
            <v>1569941.77</v>
          </cell>
        </row>
        <row r="91">
          <cell r="T91">
            <v>42102234.96</v>
          </cell>
          <cell r="U91">
            <v>37820236.85</v>
          </cell>
          <cell r="V91">
            <v>37530509.33</v>
          </cell>
        </row>
        <row r="92">
          <cell r="A92" t="str">
            <v>Naogaon</v>
          </cell>
          <cell r="B92">
            <v>3266453.25</v>
          </cell>
          <cell r="C92">
            <v>2633250.3</v>
          </cell>
          <cell r="D92">
            <v>2568704.32</v>
          </cell>
          <cell r="E92">
            <v>8398455.28</v>
          </cell>
          <cell r="F92">
            <v>5531538.93</v>
          </cell>
          <cell r="G92">
            <v>5447096.38</v>
          </cell>
          <cell r="H92">
            <v>10699320.14</v>
          </cell>
          <cell r="I92">
            <v>9897962.54</v>
          </cell>
          <cell r="J92">
            <v>9845169.69</v>
          </cell>
          <cell r="K92">
            <v>4414623.06</v>
          </cell>
          <cell r="L92">
            <v>4363174.95</v>
          </cell>
          <cell r="M92">
            <v>4360342.3</v>
          </cell>
          <cell r="N92">
            <v>4222327.41</v>
          </cell>
          <cell r="O92">
            <v>3583956.01</v>
          </cell>
          <cell r="P92">
            <v>3581456.11</v>
          </cell>
          <cell r="Q92">
            <v>2975121.14</v>
          </cell>
          <cell r="R92">
            <v>7708788.13</v>
          </cell>
          <cell r="S92">
            <v>2975121.14</v>
          </cell>
          <cell r="T92">
            <v>33976300.28</v>
          </cell>
          <cell r="U92">
            <v>33718670.86</v>
          </cell>
          <cell r="V92">
            <v>28777889.94</v>
          </cell>
        </row>
        <row r="93">
          <cell r="A93" t="str">
            <v>Narail</v>
          </cell>
          <cell r="B93">
            <v>3734825.43</v>
          </cell>
          <cell r="C93">
            <v>2731445.16</v>
          </cell>
          <cell r="D93">
            <v>2645507.79</v>
          </cell>
          <cell r="E93">
            <v>6865886.2</v>
          </cell>
          <cell r="F93">
            <v>5886368.91</v>
          </cell>
          <cell r="G93">
            <v>5804546.05</v>
          </cell>
          <cell r="H93">
            <v>9702074.44</v>
          </cell>
          <cell r="I93">
            <v>8800193.72</v>
          </cell>
          <cell r="J93">
            <v>8780182.65</v>
          </cell>
          <cell r="K93">
            <v>1383489.78</v>
          </cell>
          <cell r="L93">
            <v>1481672.15</v>
          </cell>
          <cell r="M93">
            <v>1383489.78</v>
          </cell>
          <cell r="N93">
            <v>626523.98</v>
          </cell>
          <cell r="O93">
            <v>625211.88</v>
          </cell>
          <cell r="P93">
            <v>625211.88</v>
          </cell>
          <cell r="Q93">
            <v>672180.37</v>
          </cell>
          <cell r="R93">
            <v>672485.53</v>
          </cell>
          <cell r="S93">
            <v>672180.37</v>
          </cell>
          <cell r="T93">
            <v>22984980.2</v>
          </cell>
          <cell r="U93">
            <v>20197377.35</v>
          </cell>
          <cell r="V93">
            <v>19911118.52</v>
          </cell>
        </row>
        <row r="94">
          <cell r="A94" t="str">
            <v>Narayangonj</v>
          </cell>
          <cell r="B94">
            <v>766126.49</v>
          </cell>
          <cell r="C94">
            <v>592843.68</v>
          </cell>
          <cell r="D94">
            <v>590279.1</v>
          </cell>
          <cell r="E94">
            <v>19155967.75</v>
          </cell>
          <cell r="F94">
            <v>12028051.79</v>
          </cell>
          <cell r="G94">
            <v>11366594.34</v>
          </cell>
          <cell r="H94">
            <v>15448005.18</v>
          </cell>
          <cell r="I94">
            <v>11075314.68</v>
          </cell>
          <cell r="J94">
            <v>10496718.83</v>
          </cell>
          <cell r="K94">
            <v>5308346.01</v>
          </cell>
          <cell r="L94">
            <v>4588118.96</v>
          </cell>
          <cell r="M94">
            <v>4585130.14</v>
          </cell>
          <cell r="N94">
            <v>5453323.35</v>
          </cell>
          <cell r="O94">
            <v>3192646.54</v>
          </cell>
          <cell r="P94">
            <v>3188150.73</v>
          </cell>
          <cell r="Q94">
            <v>5698345.86</v>
          </cell>
          <cell r="R94">
            <v>5705528.92</v>
          </cell>
          <cell r="S94">
            <v>5698345.86</v>
          </cell>
          <cell r="T94">
            <v>51830114.64</v>
          </cell>
          <cell r="U94">
            <v>37182504.57</v>
          </cell>
          <cell r="V94">
            <v>35925219</v>
          </cell>
        </row>
        <row r="95">
          <cell r="A95" t="str">
            <v>Narsingdi</v>
          </cell>
          <cell r="B95">
            <v>3431559.45</v>
          </cell>
          <cell r="C95">
            <v>2826912.69</v>
          </cell>
          <cell r="D95">
            <v>2671573.84</v>
          </cell>
          <cell r="E95">
            <v>18658495.79</v>
          </cell>
          <cell r="F95">
            <v>15365291.14</v>
          </cell>
          <cell r="G95">
            <v>14922706.44</v>
          </cell>
          <cell r="H95">
            <v>24379111.09</v>
          </cell>
          <cell r="I95">
            <v>16949339.62</v>
          </cell>
          <cell r="J95">
            <v>16358095.81</v>
          </cell>
          <cell r="K95">
            <v>4632618.72</v>
          </cell>
          <cell r="L95">
            <v>5005312.02</v>
          </cell>
          <cell r="M95">
            <v>4632618.72</v>
          </cell>
          <cell r="N95">
            <v>6057218.39</v>
          </cell>
          <cell r="O95">
            <v>5879485.75</v>
          </cell>
          <cell r="P95">
            <v>5875286.97</v>
          </cell>
          <cell r="Q95">
            <v>3720524.02</v>
          </cell>
          <cell r="R95">
            <v>3722906.89</v>
          </cell>
          <cell r="S95">
            <v>3720524.02</v>
          </cell>
          <cell r="T95">
            <v>60879527.46</v>
          </cell>
          <cell r="U95">
            <v>49749248.11</v>
          </cell>
          <cell r="V95">
            <v>48180805.8</v>
          </cell>
        </row>
        <row r="96">
          <cell r="A96" t="str">
            <v>Nawabgonj</v>
          </cell>
          <cell r="B96">
            <v>5965096.22</v>
          </cell>
          <cell r="C96">
            <v>5397022.12</v>
          </cell>
          <cell r="D96">
            <v>5365105.53</v>
          </cell>
          <cell r="E96">
            <v>22874770.39</v>
          </cell>
          <cell r="F96">
            <v>19499309.3</v>
          </cell>
          <cell r="G96">
            <v>19427194.43</v>
          </cell>
          <cell r="H96">
            <v>5646029.36</v>
          </cell>
          <cell r="I96">
            <v>4871070.26</v>
          </cell>
          <cell r="J96">
            <v>4866877.21</v>
          </cell>
          <cell r="K96">
            <v>279160.21</v>
          </cell>
          <cell r="L96">
            <v>279160.21</v>
          </cell>
          <cell r="M96">
            <v>279160.21</v>
          </cell>
        </row>
        <row r="96">
          <cell r="T96">
            <v>34765056.18</v>
          </cell>
          <cell r="U96">
            <v>30046561.89</v>
          </cell>
          <cell r="V96">
            <v>29938337.38</v>
          </cell>
        </row>
        <row r="97">
          <cell r="A97" t="str">
            <v>Nawabpur</v>
          </cell>
          <cell r="B97">
            <v>1180356.59</v>
          </cell>
          <cell r="C97">
            <v>38789.32</v>
          </cell>
          <cell r="D97">
            <v>38789.32</v>
          </cell>
          <cell r="E97">
            <v>10793165.25</v>
          </cell>
          <cell r="F97">
            <v>8259406.37</v>
          </cell>
          <cell r="G97">
            <v>8188062.52</v>
          </cell>
          <cell r="H97">
            <v>23745035.99</v>
          </cell>
          <cell r="I97">
            <v>18789642.95</v>
          </cell>
          <cell r="J97">
            <v>16750981.69</v>
          </cell>
          <cell r="K97">
            <v>7538003.2</v>
          </cell>
          <cell r="L97">
            <v>3862614.38</v>
          </cell>
          <cell r="M97">
            <v>3857164.22</v>
          </cell>
          <cell r="N97">
            <v>6620356.36</v>
          </cell>
          <cell r="O97">
            <v>5937362.76</v>
          </cell>
          <cell r="P97">
            <v>5933076.13</v>
          </cell>
          <cell r="Q97">
            <v>5496682.97</v>
          </cell>
          <cell r="R97">
            <v>3580614.21</v>
          </cell>
          <cell r="S97">
            <v>3579129.21</v>
          </cell>
          <cell r="T97">
            <v>55373600.36</v>
          </cell>
          <cell r="U97">
            <v>40468429.99</v>
          </cell>
          <cell r="V97">
            <v>38347203.09</v>
          </cell>
        </row>
        <row r="98">
          <cell r="A98" t="str">
            <v>Nondon Kanon</v>
          </cell>
          <cell r="B98">
            <v>658484.57</v>
          </cell>
          <cell r="C98">
            <v>255297.1</v>
          </cell>
          <cell r="D98">
            <v>195608.52</v>
          </cell>
          <cell r="E98">
            <v>9106352.78</v>
          </cell>
          <cell r="F98">
            <v>4608840.32</v>
          </cell>
          <cell r="G98">
            <v>4516704.41</v>
          </cell>
          <cell r="H98">
            <v>32258090.24</v>
          </cell>
          <cell r="I98">
            <v>18497306.21</v>
          </cell>
          <cell r="J98">
            <v>18103794.8</v>
          </cell>
          <cell r="K98">
            <v>6822312.11</v>
          </cell>
          <cell r="L98">
            <v>7014235.85</v>
          </cell>
          <cell r="M98">
            <v>6416919.06</v>
          </cell>
          <cell r="N98">
            <v>3319831.37</v>
          </cell>
          <cell r="O98">
            <v>3349476.31</v>
          </cell>
          <cell r="P98">
            <v>2915043.22</v>
          </cell>
          <cell r="Q98">
            <v>2061164.49</v>
          </cell>
          <cell r="R98">
            <v>2062596</v>
          </cell>
          <cell r="S98">
            <v>2061164.49</v>
          </cell>
          <cell r="T98">
            <v>54226235.56</v>
          </cell>
          <cell r="U98">
            <v>35787751.79</v>
          </cell>
          <cell r="V98">
            <v>34209234.5</v>
          </cell>
        </row>
        <row r="99">
          <cell r="A99" t="str">
            <v>Pabna</v>
          </cell>
          <cell r="B99">
            <v>2378387.21</v>
          </cell>
          <cell r="C99">
            <v>2276963.46</v>
          </cell>
          <cell r="D99">
            <v>2213579.9</v>
          </cell>
          <cell r="E99">
            <v>13464423.78</v>
          </cell>
          <cell r="F99">
            <v>11298153.54</v>
          </cell>
          <cell r="G99">
            <v>11063169.46</v>
          </cell>
          <cell r="H99">
            <v>18691211.84</v>
          </cell>
          <cell r="I99">
            <v>16268599.51</v>
          </cell>
          <cell r="J99">
            <v>15589346.84</v>
          </cell>
          <cell r="K99">
            <v>5629290.45</v>
          </cell>
          <cell r="L99">
            <v>5636353.79</v>
          </cell>
          <cell r="M99">
            <v>5594296.64</v>
          </cell>
          <cell r="N99">
            <v>5523556.62</v>
          </cell>
          <cell r="O99">
            <v>5526375.61</v>
          </cell>
          <cell r="P99">
            <v>5523556.62</v>
          </cell>
          <cell r="Q99">
            <v>7592709.88</v>
          </cell>
          <cell r="R99">
            <v>5552653.84</v>
          </cell>
          <cell r="S99">
            <v>5548715.87</v>
          </cell>
          <cell r="T99">
            <v>53279579.78</v>
          </cell>
          <cell r="U99">
            <v>46559099.75</v>
          </cell>
          <cell r="V99">
            <v>45532665.33</v>
          </cell>
        </row>
        <row r="100">
          <cell r="A100" t="str">
            <v>Pahartali</v>
          </cell>
          <cell r="B100">
            <v>923991.36</v>
          </cell>
          <cell r="C100">
            <v>628876.33</v>
          </cell>
          <cell r="D100">
            <v>628241.57</v>
          </cell>
          <cell r="E100">
            <v>11723449.66</v>
          </cell>
          <cell r="F100">
            <v>10660361.58</v>
          </cell>
          <cell r="G100">
            <v>10238072.85</v>
          </cell>
          <cell r="H100">
            <v>14479776.87</v>
          </cell>
          <cell r="I100">
            <v>11139499.18</v>
          </cell>
          <cell r="J100">
            <v>10926522</v>
          </cell>
          <cell r="K100">
            <v>13621107.05</v>
          </cell>
          <cell r="L100">
            <v>4518395.85</v>
          </cell>
          <cell r="M100">
            <v>4262164.26</v>
          </cell>
          <cell r="N100">
            <v>1752539.91</v>
          </cell>
          <cell r="O100">
            <v>1407098.82</v>
          </cell>
          <cell r="P100">
            <v>1298861.01</v>
          </cell>
        </row>
        <row r="100">
          <cell r="T100">
            <v>42500864.85</v>
          </cell>
          <cell r="U100">
            <v>28354231.76</v>
          </cell>
          <cell r="V100">
            <v>27353861.69</v>
          </cell>
        </row>
        <row r="101">
          <cell r="A101" t="str">
            <v>Panchaghar</v>
          </cell>
          <cell r="B101">
            <v>2158814.48</v>
          </cell>
          <cell r="C101">
            <v>1741681.86</v>
          </cell>
          <cell r="D101">
            <v>1740706.37</v>
          </cell>
          <cell r="E101">
            <v>8090651.91</v>
          </cell>
          <cell r="F101">
            <v>5047823.72</v>
          </cell>
          <cell r="G101">
            <v>4996598.46</v>
          </cell>
          <cell r="H101">
            <v>9253494.01</v>
          </cell>
          <cell r="I101">
            <v>8090613.69</v>
          </cell>
          <cell r="J101">
            <v>8080674.26</v>
          </cell>
          <cell r="K101">
            <v>841617.89</v>
          </cell>
          <cell r="L101">
            <v>690981.32</v>
          </cell>
          <cell r="M101">
            <v>690981.32</v>
          </cell>
          <cell r="N101">
            <v>948670.16</v>
          </cell>
          <cell r="O101">
            <v>325000</v>
          </cell>
          <cell r="P101">
            <v>324943.88</v>
          </cell>
        </row>
        <row r="101">
          <cell r="T101">
            <v>21293248.45</v>
          </cell>
          <cell r="U101">
            <v>15896100.59</v>
          </cell>
          <cell r="V101">
            <v>15833904.29</v>
          </cell>
        </row>
        <row r="102">
          <cell r="A102" t="str">
            <v>Patuakhali</v>
          </cell>
          <cell r="B102">
            <v>4559278.77</v>
          </cell>
          <cell r="C102">
            <v>2167245.8</v>
          </cell>
          <cell r="D102">
            <v>1992484.92</v>
          </cell>
          <cell r="E102">
            <v>23338917.32</v>
          </cell>
          <cell r="F102">
            <v>15016788.85</v>
          </cell>
          <cell r="G102">
            <v>14613117.16</v>
          </cell>
          <cell r="H102">
            <v>18314966.7</v>
          </cell>
          <cell r="I102">
            <v>12537430.85</v>
          </cell>
          <cell r="J102">
            <v>12330260.02</v>
          </cell>
          <cell r="K102">
            <v>2407190.34</v>
          </cell>
          <cell r="L102">
            <v>2139560.37</v>
          </cell>
          <cell r="M102">
            <v>2138554.87</v>
          </cell>
          <cell r="N102">
            <v>1830778.13</v>
          </cell>
          <cell r="O102">
            <v>10000</v>
          </cell>
          <cell r="P102">
            <v>10000</v>
          </cell>
        </row>
        <row r="102">
          <cell r="T102">
            <v>50451131.26</v>
          </cell>
          <cell r="U102">
            <v>31871025.87</v>
          </cell>
          <cell r="V102">
            <v>31084416.97</v>
          </cell>
        </row>
        <row r="103">
          <cell r="A103" t="str">
            <v>Potiya</v>
          </cell>
          <cell r="B103">
            <v>3036652.17</v>
          </cell>
          <cell r="C103">
            <v>1979635.01</v>
          </cell>
          <cell r="D103">
            <v>1904533.56</v>
          </cell>
          <cell r="E103">
            <v>9297944.64</v>
          </cell>
          <cell r="F103">
            <v>6794864</v>
          </cell>
          <cell r="G103">
            <v>6195349.39</v>
          </cell>
          <cell r="H103">
            <v>12589810.72</v>
          </cell>
          <cell r="I103">
            <v>7156951.52</v>
          </cell>
          <cell r="J103">
            <v>6939355.39</v>
          </cell>
          <cell r="K103">
            <v>994450.85</v>
          </cell>
          <cell r="L103">
            <v>796543.76</v>
          </cell>
          <cell r="M103">
            <v>795274.21</v>
          </cell>
          <cell r="N103">
            <v>1183792.92</v>
          </cell>
          <cell r="O103">
            <v>1186740.82</v>
          </cell>
          <cell r="P103">
            <v>1183792.92</v>
          </cell>
        </row>
        <row r="103">
          <cell r="T103">
            <v>27102651.3</v>
          </cell>
          <cell r="U103">
            <v>17914735.11</v>
          </cell>
          <cell r="V103">
            <v>17018305.47</v>
          </cell>
        </row>
        <row r="104">
          <cell r="A104" t="str">
            <v>Rajbari</v>
          </cell>
          <cell r="B104">
            <v>4507551.44</v>
          </cell>
          <cell r="C104">
            <v>3324767.13</v>
          </cell>
          <cell r="D104">
            <v>3242454.19</v>
          </cell>
          <cell r="E104">
            <v>11698357.26</v>
          </cell>
          <cell r="F104">
            <v>8198647.59</v>
          </cell>
          <cell r="G104">
            <v>7968990.99</v>
          </cell>
          <cell r="H104">
            <v>6762607.58</v>
          </cell>
          <cell r="I104">
            <v>4951916.42</v>
          </cell>
          <cell r="J104">
            <v>4743215.49</v>
          </cell>
          <cell r="K104">
            <v>2508581.26</v>
          </cell>
          <cell r="L104">
            <v>1322025.34</v>
          </cell>
          <cell r="M104">
            <v>1321419.78</v>
          </cell>
          <cell r="N104">
            <v>962235.65</v>
          </cell>
          <cell r="O104">
            <v>336939.52</v>
          </cell>
          <cell r="P104">
            <v>336939.52</v>
          </cell>
          <cell r="Q104">
            <v>374619.66</v>
          </cell>
          <cell r="R104">
            <v>374937.04</v>
          </cell>
          <cell r="S104">
            <v>374619.66</v>
          </cell>
          <cell r="T104">
            <v>26813952.85</v>
          </cell>
          <cell r="U104">
            <v>18509233.04</v>
          </cell>
          <cell r="V104">
            <v>17987639.63</v>
          </cell>
        </row>
        <row r="105">
          <cell r="A105" t="str">
            <v>Rajshahi</v>
          </cell>
          <cell r="B105">
            <v>1990089.84</v>
          </cell>
          <cell r="C105">
            <v>1166043.1</v>
          </cell>
          <cell r="D105">
            <v>1119056.71</v>
          </cell>
          <cell r="E105">
            <v>17911837.74</v>
          </cell>
          <cell r="F105">
            <v>12711093.87</v>
          </cell>
          <cell r="G105">
            <v>12302385.74</v>
          </cell>
          <cell r="H105">
            <v>24018451.49</v>
          </cell>
          <cell r="I105">
            <v>21062803.19</v>
          </cell>
          <cell r="J105">
            <v>20873053.55</v>
          </cell>
          <cell r="K105">
            <v>6076473.74</v>
          </cell>
          <cell r="L105">
            <v>5482568.99</v>
          </cell>
          <cell r="M105">
            <v>5479253.81</v>
          </cell>
          <cell r="N105">
            <v>4983779.67</v>
          </cell>
          <cell r="O105">
            <v>4986495.49</v>
          </cell>
          <cell r="P105">
            <v>4983779.67</v>
          </cell>
          <cell r="Q105">
            <v>2674452.03</v>
          </cell>
          <cell r="R105">
            <v>2675019.65</v>
          </cell>
          <cell r="S105">
            <v>2674452.03</v>
          </cell>
          <cell r="T105">
            <v>57655084.51</v>
          </cell>
          <cell r="U105">
            <v>48084024.29</v>
          </cell>
          <cell r="V105">
            <v>47431981.51</v>
          </cell>
        </row>
        <row r="106">
          <cell r="A106" t="str">
            <v>Rangpur</v>
          </cell>
          <cell r="B106">
            <v>4531753.33</v>
          </cell>
          <cell r="C106">
            <v>2722055.77</v>
          </cell>
          <cell r="D106">
            <v>2661489.05</v>
          </cell>
          <cell r="E106">
            <v>8973850.4</v>
          </cell>
          <cell r="F106">
            <v>7250873.22</v>
          </cell>
          <cell r="G106">
            <v>6996241.02</v>
          </cell>
          <cell r="H106">
            <v>10894879.1</v>
          </cell>
          <cell r="I106">
            <v>9121199.05</v>
          </cell>
          <cell r="J106">
            <v>8956915.5</v>
          </cell>
          <cell r="K106">
            <v>3296573.4</v>
          </cell>
          <cell r="L106">
            <v>3452701.01</v>
          </cell>
          <cell r="M106">
            <v>3296573.4</v>
          </cell>
          <cell r="N106">
            <v>3419551.71</v>
          </cell>
          <cell r="O106">
            <v>3422088.79</v>
          </cell>
          <cell r="P106">
            <v>3419551.71</v>
          </cell>
          <cell r="Q106">
            <v>9308674.55</v>
          </cell>
          <cell r="R106">
            <v>8821805.69</v>
          </cell>
          <cell r="S106">
            <v>6923470.85</v>
          </cell>
          <cell r="T106">
            <v>40425282.49</v>
          </cell>
          <cell r="U106">
            <v>34790723.53</v>
          </cell>
          <cell r="V106">
            <v>32254241.53</v>
          </cell>
        </row>
        <row r="107">
          <cell r="A107" t="str">
            <v>Sathkhira</v>
          </cell>
          <cell r="B107">
            <v>994176.16</v>
          </cell>
          <cell r="C107">
            <v>926605.96</v>
          </cell>
          <cell r="D107">
            <v>924954.76</v>
          </cell>
          <cell r="E107">
            <v>4529476.89</v>
          </cell>
          <cell r="F107">
            <v>4059223.25</v>
          </cell>
          <cell r="G107">
            <v>4002139.72</v>
          </cell>
          <cell r="H107">
            <v>2462092.24</v>
          </cell>
          <cell r="I107">
            <v>2342906.82</v>
          </cell>
          <cell r="J107">
            <v>2339982.88</v>
          </cell>
          <cell r="K107">
            <v>718880.96</v>
          </cell>
          <cell r="L107">
            <v>718947.7</v>
          </cell>
          <cell r="M107">
            <v>718880.96</v>
          </cell>
        </row>
        <row r="107">
          <cell r="T107">
            <v>8704626.25</v>
          </cell>
          <cell r="U107">
            <v>8047683.73</v>
          </cell>
          <cell r="V107">
            <v>7985958.32</v>
          </cell>
        </row>
        <row r="108">
          <cell r="A108" t="str">
            <v>Savar</v>
          </cell>
          <cell r="B108">
            <v>1052003.46</v>
          </cell>
          <cell r="C108">
            <v>521081.79</v>
          </cell>
          <cell r="D108">
            <v>452522.05</v>
          </cell>
          <cell r="E108">
            <v>9238265.9</v>
          </cell>
          <cell r="F108">
            <v>5891138.36</v>
          </cell>
          <cell r="G108">
            <v>5761705.95</v>
          </cell>
          <cell r="H108">
            <v>10354706.42</v>
          </cell>
          <cell r="I108">
            <v>6622279.16</v>
          </cell>
          <cell r="J108">
            <v>6433181.53</v>
          </cell>
          <cell r="K108">
            <v>3506903.77</v>
          </cell>
          <cell r="L108">
            <v>2472229.46</v>
          </cell>
          <cell r="M108">
            <v>2289832.92</v>
          </cell>
          <cell r="N108">
            <v>3378270.16</v>
          </cell>
          <cell r="O108">
            <v>1879636.98</v>
          </cell>
          <cell r="P108">
            <v>1875945.61</v>
          </cell>
          <cell r="Q108">
            <v>1230892.97</v>
          </cell>
          <cell r="R108">
            <v>802384.33</v>
          </cell>
          <cell r="S108">
            <v>802384.33</v>
          </cell>
          <cell r="T108">
            <v>28761042.68</v>
          </cell>
          <cell r="U108">
            <v>18188750.08</v>
          </cell>
          <cell r="V108">
            <v>17615572.39</v>
          </cell>
        </row>
        <row r="109">
          <cell r="A109" t="str">
            <v>Savar-2</v>
          </cell>
          <cell r="B109">
            <v>923667.43</v>
          </cell>
          <cell r="C109">
            <v>741047.99</v>
          </cell>
          <cell r="D109">
            <v>739647.71</v>
          </cell>
          <cell r="E109">
            <v>8161450.87</v>
          </cell>
          <cell r="F109">
            <v>6214358.56</v>
          </cell>
          <cell r="G109">
            <v>6166194.29</v>
          </cell>
          <cell r="H109">
            <v>6316882.92</v>
          </cell>
          <cell r="I109">
            <v>5405528.69</v>
          </cell>
          <cell r="J109">
            <v>5207129.33</v>
          </cell>
          <cell r="K109">
            <v>8293156.98</v>
          </cell>
          <cell r="L109">
            <v>1882053.15</v>
          </cell>
          <cell r="M109">
            <v>1880962.05</v>
          </cell>
          <cell r="N109">
            <v>1477814.52</v>
          </cell>
          <cell r="O109">
            <v>1327947.38</v>
          </cell>
          <cell r="P109">
            <v>1327765.52</v>
          </cell>
          <cell r="Q109">
            <v>4906080.92</v>
          </cell>
          <cell r="R109">
            <v>3214477.57</v>
          </cell>
          <cell r="S109">
            <v>3213728.73</v>
          </cell>
          <cell r="T109">
            <v>30079053.64</v>
          </cell>
          <cell r="U109">
            <v>18785413.34</v>
          </cell>
          <cell r="V109">
            <v>18535427.63</v>
          </cell>
        </row>
        <row r="110">
          <cell r="A110" t="str">
            <v>Shaheshtagonj</v>
          </cell>
          <cell r="B110">
            <v>12419830.75</v>
          </cell>
          <cell r="C110">
            <v>11205206.71</v>
          </cell>
          <cell r="D110">
            <v>10977507.22</v>
          </cell>
          <cell r="E110">
            <v>19197093.23</v>
          </cell>
          <cell r="F110">
            <v>16581142.99</v>
          </cell>
          <cell r="G110">
            <v>16538116.2</v>
          </cell>
          <cell r="H110">
            <v>4026793.84</v>
          </cell>
          <cell r="I110">
            <v>1919806.68</v>
          </cell>
          <cell r="J110">
            <v>1916754.73</v>
          </cell>
        </row>
        <row r="110">
          <cell r="T110">
            <v>35643717.82</v>
          </cell>
          <cell r="U110">
            <v>29706156.38</v>
          </cell>
          <cell r="V110">
            <v>29432378.15</v>
          </cell>
        </row>
        <row r="111">
          <cell r="A111" t="str">
            <v>Shambazar</v>
          </cell>
          <cell r="B111">
            <v>1081338.41</v>
          </cell>
          <cell r="C111">
            <v>156236.72</v>
          </cell>
          <cell r="D111">
            <v>147803.05</v>
          </cell>
          <cell r="E111">
            <v>19172343.87</v>
          </cell>
          <cell r="F111">
            <v>14477779.11</v>
          </cell>
          <cell r="G111">
            <v>12768089.37</v>
          </cell>
          <cell r="H111">
            <v>46880710.76</v>
          </cell>
          <cell r="I111">
            <v>33653661.27</v>
          </cell>
          <cell r="J111">
            <v>27220905.4</v>
          </cell>
          <cell r="K111">
            <v>13143459.78</v>
          </cell>
          <cell r="L111">
            <v>11617305.67</v>
          </cell>
          <cell r="M111">
            <v>11607314.99</v>
          </cell>
          <cell r="N111">
            <v>6620227.71</v>
          </cell>
          <cell r="O111">
            <v>6233991.39</v>
          </cell>
          <cell r="P111">
            <v>6228012.22</v>
          </cell>
          <cell r="Q111">
            <v>4086912.6</v>
          </cell>
          <cell r="R111">
            <v>4088271.35</v>
          </cell>
          <cell r="S111">
            <v>4086912.6</v>
          </cell>
          <cell r="T111">
            <v>90984993.13</v>
          </cell>
          <cell r="U111">
            <v>70227245.51</v>
          </cell>
          <cell r="V111">
            <v>62059037.63</v>
          </cell>
        </row>
        <row r="112">
          <cell r="A112" t="str">
            <v>Shariatpur</v>
          </cell>
          <cell r="B112">
            <v>2015343.45</v>
          </cell>
          <cell r="C112">
            <v>1127227.08</v>
          </cell>
          <cell r="D112">
            <v>1126377.51</v>
          </cell>
          <cell r="E112">
            <v>22062314.32</v>
          </cell>
          <cell r="F112">
            <v>20031963.34</v>
          </cell>
          <cell r="G112">
            <v>19824151.62</v>
          </cell>
          <cell r="H112">
            <v>8889355.93</v>
          </cell>
          <cell r="I112">
            <v>7518111.92</v>
          </cell>
          <cell r="J112">
            <v>7379753.5</v>
          </cell>
          <cell r="K112">
            <v>2672526.04</v>
          </cell>
          <cell r="L112">
            <v>2392186.39</v>
          </cell>
          <cell r="M112">
            <v>2390569.18</v>
          </cell>
          <cell r="N112">
            <v>674115.33</v>
          </cell>
          <cell r="O112">
            <v>674115.54</v>
          </cell>
          <cell r="P112">
            <v>674115.33</v>
          </cell>
          <cell r="Q112">
            <v>1654033.25</v>
          </cell>
          <cell r="R112">
            <v>5203629.37</v>
          </cell>
          <cell r="S112">
            <v>1654033.25</v>
          </cell>
          <cell r="T112">
            <v>37967688.32</v>
          </cell>
          <cell r="U112">
            <v>36947233.64</v>
          </cell>
          <cell r="V112">
            <v>33049000.39</v>
          </cell>
        </row>
        <row r="113">
          <cell r="A113" t="str">
            <v>Sherpur</v>
          </cell>
        </row>
        <row r="113">
          <cell r="E113">
            <v>3601126.21</v>
          </cell>
          <cell r="F113">
            <v>3190027.1</v>
          </cell>
          <cell r="G113">
            <v>3187217.79</v>
          </cell>
          <cell r="H113">
            <v>5906895.52</v>
          </cell>
          <cell r="I113">
            <v>4979665.46</v>
          </cell>
          <cell r="J113">
            <v>4971514</v>
          </cell>
          <cell r="K113">
            <v>881494.8</v>
          </cell>
          <cell r="L113">
            <v>881654.62</v>
          </cell>
          <cell r="M113">
            <v>881494.8</v>
          </cell>
          <cell r="N113">
            <v>553028.34</v>
          </cell>
          <cell r="O113">
            <v>553872.2</v>
          </cell>
          <cell r="P113">
            <v>553028.34</v>
          </cell>
          <cell r="Q113">
            <v>671588.69</v>
          </cell>
          <cell r="R113">
            <v>671756.15</v>
          </cell>
          <cell r="S113">
            <v>671588.69</v>
          </cell>
          <cell r="T113">
            <v>11614133.56</v>
          </cell>
          <cell r="U113">
            <v>10276975.53</v>
          </cell>
          <cell r="V113">
            <v>10264843.62</v>
          </cell>
        </row>
        <row r="114">
          <cell r="A114" t="str">
            <v>Shiddirgonj</v>
          </cell>
          <cell r="B114">
            <v>638601.53</v>
          </cell>
          <cell r="C114">
            <v>520107.68</v>
          </cell>
          <cell r="D114">
            <v>519550.69</v>
          </cell>
          <cell r="E114">
            <v>12690171.88</v>
          </cell>
          <cell r="F114">
            <v>10326355.45</v>
          </cell>
          <cell r="G114">
            <v>10216881.96</v>
          </cell>
          <cell r="H114">
            <v>12852350.19</v>
          </cell>
          <cell r="I114">
            <v>11832108.48</v>
          </cell>
          <cell r="J114">
            <v>11708210.82</v>
          </cell>
          <cell r="K114">
            <v>3113733.44</v>
          </cell>
          <cell r="L114">
            <v>2592388.05</v>
          </cell>
          <cell r="M114">
            <v>2578056.61</v>
          </cell>
          <cell r="N114">
            <v>3170652.61</v>
          </cell>
          <cell r="O114">
            <v>3493015.61</v>
          </cell>
          <cell r="P114">
            <v>3170652.61</v>
          </cell>
          <cell r="Q114">
            <v>512664.45</v>
          </cell>
          <cell r="R114">
            <v>513971.68</v>
          </cell>
          <cell r="S114">
            <v>512664.45</v>
          </cell>
          <cell r="T114">
            <v>32978174.1</v>
          </cell>
          <cell r="U114">
            <v>29277946.95</v>
          </cell>
          <cell r="V114">
            <v>28706017.14</v>
          </cell>
        </row>
        <row r="115">
          <cell r="A115" t="str">
            <v>Sirajgonj</v>
          </cell>
          <cell r="B115">
            <v>2770957.48</v>
          </cell>
          <cell r="C115">
            <v>1893484.05</v>
          </cell>
          <cell r="D115">
            <v>1778718.07</v>
          </cell>
          <cell r="E115">
            <v>11158502.03</v>
          </cell>
          <cell r="F115">
            <v>9627578.63</v>
          </cell>
          <cell r="G115">
            <v>9331816.19</v>
          </cell>
          <cell r="H115">
            <v>12650627.92</v>
          </cell>
          <cell r="I115">
            <v>11583722.43</v>
          </cell>
          <cell r="J115">
            <v>11463882.86</v>
          </cell>
          <cell r="K115">
            <v>3587138.37</v>
          </cell>
          <cell r="L115">
            <v>3582644.21</v>
          </cell>
          <cell r="M115">
            <v>3579781.63</v>
          </cell>
          <cell r="N115">
            <v>6354385.92</v>
          </cell>
          <cell r="O115">
            <v>5461086.68</v>
          </cell>
          <cell r="P115">
            <v>5457029.63</v>
          </cell>
        </row>
        <row r="115">
          <cell r="T115">
            <v>36521611.72</v>
          </cell>
          <cell r="U115">
            <v>32148516</v>
          </cell>
          <cell r="V115">
            <v>31611228.38</v>
          </cell>
        </row>
        <row r="116">
          <cell r="A116" t="str">
            <v>Sonir Akhra</v>
          </cell>
          <cell r="B116">
            <v>355916.65</v>
          </cell>
          <cell r="C116">
            <v>242456.43</v>
          </cell>
          <cell r="D116">
            <v>242351.64</v>
          </cell>
          <cell r="E116">
            <v>9838331.89</v>
          </cell>
          <cell r="F116">
            <v>6964221.28</v>
          </cell>
          <cell r="G116">
            <v>6905866.99</v>
          </cell>
          <cell r="H116">
            <v>8848665.51</v>
          </cell>
          <cell r="I116">
            <v>7708791.57</v>
          </cell>
          <cell r="J116">
            <v>7615366.85</v>
          </cell>
          <cell r="K116">
            <v>2210027</v>
          </cell>
          <cell r="L116">
            <v>1447128.25</v>
          </cell>
          <cell r="M116">
            <v>1446952.12</v>
          </cell>
          <cell r="N116">
            <v>4494726.61</v>
          </cell>
          <cell r="O116">
            <v>4672775.7</v>
          </cell>
          <cell r="P116">
            <v>4494726.61</v>
          </cell>
          <cell r="Q116">
            <v>5381669.68</v>
          </cell>
          <cell r="R116">
            <v>3659610.04</v>
          </cell>
          <cell r="S116">
            <v>3658457.64</v>
          </cell>
          <cell r="T116">
            <v>31129337.34</v>
          </cell>
          <cell r="U116">
            <v>24694983.27</v>
          </cell>
          <cell r="V116">
            <v>24363721.85</v>
          </cell>
        </row>
        <row r="117">
          <cell r="A117" t="str">
            <v>South Surma</v>
          </cell>
          <cell r="B117">
            <v>2174042.45</v>
          </cell>
          <cell r="C117">
            <v>1799217.71</v>
          </cell>
          <cell r="D117">
            <v>1738053.44</v>
          </cell>
          <cell r="E117">
            <v>9632470.13</v>
          </cell>
          <cell r="F117">
            <v>5823801.01</v>
          </cell>
          <cell r="G117">
            <v>5514691.54</v>
          </cell>
          <cell r="H117">
            <v>3484271.25</v>
          </cell>
          <cell r="I117">
            <v>2793328.71</v>
          </cell>
          <cell r="J117">
            <v>2617087.2</v>
          </cell>
          <cell r="K117">
            <v>2078785.64</v>
          </cell>
          <cell r="L117">
            <v>1745828.05</v>
          </cell>
          <cell r="M117">
            <v>1742835.91</v>
          </cell>
          <cell r="N117">
            <v>951239.54</v>
          </cell>
          <cell r="O117">
            <v>951239.54</v>
          </cell>
          <cell r="P117">
            <v>951239.54</v>
          </cell>
        </row>
        <row r="117">
          <cell r="T117">
            <v>18320809.01</v>
          </cell>
          <cell r="U117">
            <v>13113415.02</v>
          </cell>
          <cell r="V117">
            <v>12563907.63</v>
          </cell>
        </row>
        <row r="118">
          <cell r="A118" t="str">
            <v>Sreenagar</v>
          </cell>
          <cell r="B118">
            <v>4111299.45</v>
          </cell>
          <cell r="C118">
            <v>3747857.52</v>
          </cell>
          <cell r="D118">
            <v>3717659.17</v>
          </cell>
          <cell r="E118">
            <v>18453356.8</v>
          </cell>
          <cell r="F118">
            <v>15271270.4</v>
          </cell>
          <cell r="G118">
            <v>15161795.63</v>
          </cell>
          <cell r="H118">
            <v>1351719.5</v>
          </cell>
          <cell r="I118">
            <v>1278918.98</v>
          </cell>
          <cell r="J118">
            <v>1277140.91</v>
          </cell>
        </row>
        <row r="118">
          <cell r="T118">
            <v>23916375.75</v>
          </cell>
          <cell r="U118">
            <v>20298046.9</v>
          </cell>
          <cell r="V118">
            <v>20156595.71</v>
          </cell>
        </row>
        <row r="119">
          <cell r="A119" t="str">
            <v>Sreepur</v>
          </cell>
          <cell r="B119">
            <v>417465.47</v>
          </cell>
          <cell r="C119">
            <v>311145.96</v>
          </cell>
          <cell r="D119">
            <v>292680.27</v>
          </cell>
          <cell r="E119">
            <v>9885760.33</v>
          </cell>
          <cell r="F119">
            <v>8032715.68</v>
          </cell>
          <cell r="G119">
            <v>7906532.96</v>
          </cell>
          <cell r="H119">
            <v>16780131.54</v>
          </cell>
          <cell r="I119">
            <v>15289317.82</v>
          </cell>
          <cell r="J119">
            <v>15174445.07</v>
          </cell>
          <cell r="K119">
            <v>3506987.01</v>
          </cell>
          <cell r="L119">
            <v>3395328.21</v>
          </cell>
          <cell r="M119">
            <v>3233765.01</v>
          </cell>
          <cell r="N119">
            <v>2256717.89</v>
          </cell>
          <cell r="O119">
            <v>2257319.61</v>
          </cell>
          <cell r="P119">
            <v>2256717.89</v>
          </cell>
          <cell r="Q119">
            <v>3496915.83</v>
          </cell>
          <cell r="R119">
            <v>3560614.62</v>
          </cell>
          <cell r="S119">
            <v>3309967.42</v>
          </cell>
          <cell r="T119">
            <v>36343978.07</v>
          </cell>
          <cell r="U119">
            <v>32846441.9</v>
          </cell>
          <cell r="V119">
            <v>32174108.62</v>
          </cell>
        </row>
        <row r="120">
          <cell r="A120" t="str">
            <v>Swarupkathi</v>
          </cell>
          <cell r="B120">
            <v>6282505.11</v>
          </cell>
          <cell r="C120">
            <v>3042060.47</v>
          </cell>
          <cell r="D120">
            <v>2955459.27</v>
          </cell>
          <cell r="E120">
            <v>11549195.79</v>
          </cell>
          <cell r="F120">
            <v>6862551.36</v>
          </cell>
          <cell r="G120">
            <v>6751040.56</v>
          </cell>
          <cell r="H120">
            <v>7044851.88</v>
          </cell>
          <cell r="I120">
            <v>4777189.59</v>
          </cell>
          <cell r="J120">
            <v>4442257.16</v>
          </cell>
          <cell r="K120">
            <v>877410.77</v>
          </cell>
          <cell r="L120">
            <v>877743.96</v>
          </cell>
          <cell r="M120">
            <v>877410.77</v>
          </cell>
        </row>
        <row r="120">
          <cell r="T120">
            <v>25753963.55</v>
          </cell>
          <cell r="U120">
            <v>15559545.38</v>
          </cell>
          <cell r="V120">
            <v>15026167.76</v>
          </cell>
        </row>
        <row r="121">
          <cell r="A121" t="str">
            <v>Syedpur</v>
          </cell>
          <cell r="B121">
            <v>3149622.03</v>
          </cell>
          <cell r="C121">
            <v>2148945.72</v>
          </cell>
          <cell r="D121">
            <v>2145841.57</v>
          </cell>
          <cell r="E121">
            <v>8751597.8</v>
          </cell>
          <cell r="F121">
            <v>8355826.82</v>
          </cell>
          <cell r="G121">
            <v>8304950.48</v>
          </cell>
          <cell r="H121">
            <v>10795598.12</v>
          </cell>
          <cell r="I121">
            <v>9005204.42</v>
          </cell>
          <cell r="J121">
            <v>8987739.54</v>
          </cell>
          <cell r="K121">
            <v>2010023.75</v>
          </cell>
          <cell r="L121">
            <v>2000149.3</v>
          </cell>
          <cell r="M121">
            <v>1998809.57</v>
          </cell>
          <cell r="N121">
            <v>1864944.42</v>
          </cell>
          <cell r="O121">
            <v>1729766.6</v>
          </cell>
          <cell r="P121">
            <v>1729525.7</v>
          </cell>
          <cell r="Q121">
            <v>725519.31</v>
          </cell>
          <cell r="R121">
            <v>725519.31</v>
          </cell>
          <cell r="S121">
            <v>725519.31</v>
          </cell>
          <cell r="T121">
            <v>27297305.43</v>
          </cell>
          <cell r="U121">
            <v>23965412.17</v>
          </cell>
          <cell r="V121">
            <v>23892386.17</v>
          </cell>
        </row>
        <row r="122">
          <cell r="A122" t="str">
            <v>Tangail</v>
          </cell>
          <cell r="B122">
            <v>3375396.32</v>
          </cell>
          <cell r="C122">
            <v>2019703.4</v>
          </cell>
          <cell r="D122">
            <v>2016615.87</v>
          </cell>
          <cell r="E122">
            <v>15569104.05</v>
          </cell>
          <cell r="F122">
            <v>11592431.44</v>
          </cell>
          <cell r="G122">
            <v>11301950.34</v>
          </cell>
          <cell r="H122">
            <v>8389893.23</v>
          </cell>
          <cell r="I122">
            <v>6558183.71</v>
          </cell>
          <cell r="J122">
            <v>6420081.77</v>
          </cell>
          <cell r="K122">
            <v>2430042.21</v>
          </cell>
          <cell r="L122">
            <v>2637777.42</v>
          </cell>
          <cell r="M122">
            <v>2159685.51</v>
          </cell>
          <cell r="N122">
            <v>3215646.4</v>
          </cell>
          <cell r="O122">
            <v>3216731.41</v>
          </cell>
          <cell r="P122">
            <v>3215646.4</v>
          </cell>
          <cell r="Q122">
            <v>408676</v>
          </cell>
          <cell r="R122">
            <v>421075.15</v>
          </cell>
          <cell r="S122">
            <v>408676</v>
          </cell>
          <cell r="T122">
            <v>33388758.21</v>
          </cell>
          <cell r="U122">
            <v>26445902.53</v>
          </cell>
          <cell r="V122">
            <v>25522655.89</v>
          </cell>
        </row>
        <row r="123">
          <cell r="A123" t="str">
            <v>Thakurgaon</v>
          </cell>
          <cell r="B123">
            <v>2490867.08</v>
          </cell>
          <cell r="C123">
            <v>1333959.35</v>
          </cell>
          <cell r="D123">
            <v>1270909.69</v>
          </cell>
          <cell r="E123">
            <v>10242819.26</v>
          </cell>
          <cell r="F123">
            <v>6849705.07</v>
          </cell>
          <cell r="G123">
            <v>6825299.26</v>
          </cell>
          <cell r="H123">
            <v>10135410.78</v>
          </cell>
          <cell r="I123">
            <v>9134825.19</v>
          </cell>
          <cell r="J123">
            <v>9123329.41</v>
          </cell>
          <cell r="K123">
            <v>2377691.35</v>
          </cell>
          <cell r="L123">
            <v>2378316.74</v>
          </cell>
          <cell r="M123">
            <v>2377691.35</v>
          </cell>
          <cell r="N123">
            <v>3014994.47</v>
          </cell>
          <cell r="O123">
            <v>2302150.35</v>
          </cell>
          <cell r="P123">
            <v>2292745.58</v>
          </cell>
          <cell r="Q123">
            <v>2714700.42</v>
          </cell>
          <cell r="R123">
            <v>2761063.53</v>
          </cell>
          <cell r="S123">
            <v>2714700.42</v>
          </cell>
          <cell r="T123">
            <v>30976483.36</v>
          </cell>
          <cell r="U123">
            <v>24760020.23</v>
          </cell>
          <cell r="V123">
            <v>24604675.71</v>
          </cell>
        </row>
        <row r="124">
          <cell r="A124" t="str">
            <v>Tongi</v>
          </cell>
          <cell r="B124">
            <v>1548741.58</v>
          </cell>
          <cell r="C124">
            <v>601393.82</v>
          </cell>
          <cell r="D124">
            <v>600354.46</v>
          </cell>
          <cell r="E124">
            <v>14705740.76</v>
          </cell>
          <cell r="F124">
            <v>7765776.98</v>
          </cell>
          <cell r="G124">
            <v>7306668.25</v>
          </cell>
          <cell r="H124">
            <v>18443583.52</v>
          </cell>
          <cell r="I124">
            <v>13796926.04</v>
          </cell>
          <cell r="J124">
            <v>12470663.25</v>
          </cell>
          <cell r="K124">
            <v>2367185.44</v>
          </cell>
          <cell r="L124">
            <v>2889026.44</v>
          </cell>
          <cell r="M124">
            <v>2367185.44</v>
          </cell>
          <cell r="N124">
            <v>1149655.03</v>
          </cell>
          <cell r="O124">
            <v>1151378.2</v>
          </cell>
          <cell r="P124">
            <v>1149655.03</v>
          </cell>
          <cell r="Q124">
            <v>3178934.72</v>
          </cell>
          <cell r="R124">
            <v>3179247.85</v>
          </cell>
          <cell r="S124">
            <v>3178934.72</v>
          </cell>
          <cell r="T124">
            <v>41393841.05</v>
          </cell>
          <cell r="U124">
            <v>29383749.33</v>
          </cell>
          <cell r="V124">
            <v>27073461.15</v>
          </cell>
        </row>
        <row r="125">
          <cell r="A125" t="str">
            <v>Zinzira</v>
          </cell>
          <cell r="B125">
            <v>5714995.48</v>
          </cell>
          <cell r="C125">
            <v>2434523.02</v>
          </cell>
          <cell r="D125">
            <v>2433239.56</v>
          </cell>
          <cell r="E125">
            <v>26102368.72</v>
          </cell>
          <cell r="F125">
            <v>12061370.22</v>
          </cell>
          <cell r="G125">
            <v>11241457.56</v>
          </cell>
          <cell r="H125">
            <v>12428229.85</v>
          </cell>
          <cell r="I125">
            <v>10072350.23</v>
          </cell>
          <cell r="J125">
            <v>9627923.64</v>
          </cell>
          <cell r="K125">
            <v>3213073.55</v>
          </cell>
          <cell r="L125">
            <v>3209717.72</v>
          </cell>
          <cell r="M125">
            <v>3207307.58</v>
          </cell>
          <cell r="N125">
            <v>8477129.47</v>
          </cell>
          <cell r="O125">
            <v>1943030.18</v>
          </cell>
          <cell r="P125">
            <v>1941757.85</v>
          </cell>
          <cell r="Q125">
            <v>1345042.95</v>
          </cell>
          <cell r="R125">
            <v>1345042.95</v>
          </cell>
          <cell r="S125">
            <v>1345042.95</v>
          </cell>
          <cell r="T125">
            <v>57280840.02</v>
          </cell>
          <cell r="U125">
            <v>31066034.32</v>
          </cell>
          <cell r="V125">
            <v>29796729.14</v>
          </cell>
        </row>
        <row r="126">
          <cell r="A126" t="str">
            <v>Zurain</v>
          </cell>
        </row>
        <row r="126">
          <cell r="E126">
            <v>283399.36</v>
          </cell>
        </row>
        <row r="126">
          <cell r="G126">
            <v>0</v>
          </cell>
          <cell r="H126">
            <v>303605.58</v>
          </cell>
        </row>
        <row r="126">
          <cell r="J126">
            <v>0</v>
          </cell>
        </row>
        <row r="126">
          <cell r="T126">
            <v>587004.94</v>
          </cell>
        </row>
        <row r="126">
          <cell r="V126">
            <v>0</v>
          </cell>
        </row>
        <row r="127">
          <cell r="A127" t="str">
            <v>Grand Total</v>
          </cell>
          <cell r="B127">
            <v>363400229.26</v>
          </cell>
          <cell r="C127">
            <v>247559021.77</v>
          </cell>
          <cell r="D127">
            <v>241679394.71</v>
          </cell>
          <cell r="E127">
            <v>1694790392.85</v>
          </cell>
          <cell r="F127">
            <v>1226829484.22</v>
          </cell>
          <cell r="G127">
            <v>1192659072.69</v>
          </cell>
          <cell r="H127">
            <v>1513556568.53</v>
          </cell>
          <cell r="I127">
            <v>1112696547</v>
          </cell>
          <cell r="J127">
            <v>1071886699.86</v>
          </cell>
          <cell r="K127">
            <v>406250505.91</v>
          </cell>
          <cell r="L127">
            <v>327196524.06</v>
          </cell>
          <cell r="M127">
            <v>317872481.88</v>
          </cell>
          <cell r="N127">
            <v>320311643.54</v>
          </cell>
          <cell r="O127">
            <v>270636854.92</v>
          </cell>
          <cell r="P127">
            <v>262335672.61</v>
          </cell>
          <cell r="Q127">
            <v>294889909.55</v>
          </cell>
          <cell r="R127">
            <v>227479730.26</v>
          </cell>
          <cell r="S127">
            <v>207875942.21</v>
          </cell>
          <cell r="T127">
            <v>4593199249.64</v>
          </cell>
          <cell r="U127">
            <v>3412398162.23</v>
          </cell>
          <cell r="V127">
            <v>3294309263.96</v>
          </cell>
        </row>
      </sheetData>
      <sheetData sheetId="15"/>
      <sheetData sheetId="16"/>
      <sheetData sheetId="17">
        <row r="5">
          <cell r="A5" t="str">
            <v>Agailjhara</v>
          </cell>
          <cell r="B5">
            <v>1949719.24</v>
          </cell>
          <cell r="C5">
            <v>2128548.58</v>
          </cell>
          <cell r="D5">
            <v>2238592.06</v>
          </cell>
        </row>
        <row r="5">
          <cell r="H5">
            <v>6316859.88</v>
          </cell>
        </row>
        <row r="6">
          <cell r="A6" t="str">
            <v>Ambarkhana</v>
          </cell>
          <cell r="B6">
            <v>1924468.95</v>
          </cell>
        </row>
        <row r="6">
          <cell r="H6">
            <v>1924468.95</v>
          </cell>
        </row>
        <row r="7">
          <cell r="A7" t="str">
            <v>Anderkilla</v>
          </cell>
          <cell r="B7">
            <v>797104.31</v>
          </cell>
          <cell r="C7">
            <v>12983175.54</v>
          </cell>
          <cell r="D7">
            <v>12984213.69</v>
          </cell>
        </row>
        <row r="7">
          <cell r="H7">
            <v>26764493.54</v>
          </cell>
        </row>
        <row r="8">
          <cell r="A8" t="str">
            <v>Ashulia</v>
          </cell>
          <cell r="B8">
            <v>307132.5</v>
          </cell>
          <cell r="C8">
            <v>2444085.7</v>
          </cell>
          <cell r="D8">
            <v>2666977.75</v>
          </cell>
        </row>
        <row r="8">
          <cell r="H8">
            <v>5418195.95</v>
          </cell>
        </row>
        <row r="9">
          <cell r="A9" t="str">
            <v>Badda</v>
          </cell>
        </row>
        <row r="9">
          <cell r="C9">
            <v>2364939.79</v>
          </cell>
          <cell r="D9">
            <v>2289122.64</v>
          </cell>
        </row>
        <row r="9">
          <cell r="G9">
            <v>8059527.38</v>
          </cell>
          <cell r="H9">
            <v>12713589.81</v>
          </cell>
        </row>
        <row r="10">
          <cell r="A10" t="str">
            <v>Bagerhat</v>
          </cell>
          <cell r="B10">
            <v>791989.85</v>
          </cell>
          <cell r="C10">
            <v>1710909.31</v>
          </cell>
        </row>
        <row r="10">
          <cell r="H10">
            <v>2502899.16</v>
          </cell>
        </row>
        <row r="11">
          <cell r="A11" t="str">
            <v>Baligaon</v>
          </cell>
          <cell r="B11">
            <v>65661.64</v>
          </cell>
          <cell r="C11">
            <v>1527593.41</v>
          </cell>
        </row>
        <row r="11">
          <cell r="H11">
            <v>1593255.05</v>
          </cell>
        </row>
        <row r="12">
          <cell r="A12" t="str">
            <v>Banasree</v>
          </cell>
          <cell r="B12">
            <v>261854.09</v>
          </cell>
          <cell r="C12">
            <v>3892263.08</v>
          </cell>
          <cell r="D12">
            <v>2082309.87</v>
          </cell>
          <cell r="E12">
            <v>5231850.17</v>
          </cell>
        </row>
        <row r="12">
          <cell r="H12">
            <v>11468277.21</v>
          </cell>
        </row>
        <row r="13">
          <cell r="A13" t="str">
            <v>Bancharampur</v>
          </cell>
          <cell r="B13">
            <v>75202.49</v>
          </cell>
          <cell r="C13">
            <v>3143399.32</v>
          </cell>
        </row>
        <row r="13">
          <cell r="H13">
            <v>3218601.81</v>
          </cell>
        </row>
        <row r="14">
          <cell r="A14" t="str">
            <v>Bandartila </v>
          </cell>
          <cell r="B14">
            <v>1003731.66</v>
          </cell>
          <cell r="C14">
            <v>2400445.66</v>
          </cell>
          <cell r="D14">
            <v>4326710.99</v>
          </cell>
          <cell r="E14">
            <v>4419064.45</v>
          </cell>
          <cell r="F14">
            <v>6809828.29</v>
          </cell>
        </row>
        <row r="14">
          <cell r="H14">
            <v>18959781.05</v>
          </cell>
        </row>
        <row r="15">
          <cell r="A15" t="str">
            <v>Barguna</v>
          </cell>
          <cell r="B15">
            <v>1808821.57</v>
          </cell>
          <cell r="C15">
            <v>4450567</v>
          </cell>
        </row>
        <row r="15">
          <cell r="H15">
            <v>6259388.57</v>
          </cell>
        </row>
        <row r="16">
          <cell r="A16" t="str">
            <v>Barishal</v>
          </cell>
          <cell r="B16">
            <v>655208.25</v>
          </cell>
          <cell r="C16">
            <v>5401413.51</v>
          </cell>
          <cell r="D16">
            <v>5401474.82</v>
          </cell>
        </row>
        <row r="16">
          <cell r="H16">
            <v>11458096.58</v>
          </cell>
        </row>
        <row r="17">
          <cell r="A17" t="str">
            <v>Bhanga</v>
          </cell>
          <cell r="B17">
            <v>1869566.52</v>
          </cell>
          <cell r="C17">
            <v>3361076.48</v>
          </cell>
          <cell r="D17">
            <v>835372.26</v>
          </cell>
        </row>
        <row r="17">
          <cell r="H17">
            <v>6066015.26</v>
          </cell>
        </row>
        <row r="18">
          <cell r="A18" t="str">
            <v>Bharaib</v>
          </cell>
          <cell r="B18">
            <v>522923.41</v>
          </cell>
          <cell r="C18">
            <v>3285676.93</v>
          </cell>
        </row>
        <row r="18">
          <cell r="H18">
            <v>3808600.34</v>
          </cell>
        </row>
        <row r="19">
          <cell r="A19" t="str">
            <v>Bheramara</v>
          </cell>
          <cell r="B19">
            <v>2220455.8</v>
          </cell>
          <cell r="C19">
            <v>2228773.1</v>
          </cell>
          <cell r="D19">
            <v>3902170.39</v>
          </cell>
        </row>
        <row r="19">
          <cell r="H19">
            <v>8351399.29</v>
          </cell>
        </row>
        <row r="20">
          <cell r="A20" t="str">
            <v>Bhola</v>
          </cell>
          <cell r="B20">
            <v>1205621.58</v>
          </cell>
          <cell r="C20">
            <v>1127399.15</v>
          </cell>
          <cell r="D20">
            <v>463011.64</v>
          </cell>
        </row>
        <row r="20">
          <cell r="H20">
            <v>2796032.37</v>
          </cell>
        </row>
        <row r="21">
          <cell r="A21" t="str">
            <v>Bhulta</v>
          </cell>
        </row>
        <row r="21">
          <cell r="C21">
            <v>812961.88</v>
          </cell>
          <cell r="D21">
            <v>2865312.03</v>
          </cell>
        </row>
        <row r="21">
          <cell r="H21">
            <v>3678273.91</v>
          </cell>
        </row>
        <row r="22">
          <cell r="A22" t="str">
            <v>Bogura</v>
          </cell>
          <cell r="B22">
            <v>13688.23</v>
          </cell>
          <cell r="C22">
            <v>6266428.8</v>
          </cell>
          <cell r="D22">
            <v>2860582.52</v>
          </cell>
        </row>
        <row r="22">
          <cell r="H22">
            <v>9140699.55</v>
          </cell>
        </row>
        <row r="23">
          <cell r="A23" t="str">
            <v>Brahmanbaria</v>
          </cell>
          <cell r="B23">
            <v>265125.76</v>
          </cell>
          <cell r="C23">
            <v>5384259.53</v>
          </cell>
          <cell r="D23">
            <v>3359534.53</v>
          </cell>
        </row>
        <row r="23">
          <cell r="H23">
            <v>9008919.82</v>
          </cell>
        </row>
        <row r="24">
          <cell r="A24" t="str">
            <v>C. Nawabganj</v>
          </cell>
          <cell r="B24">
            <v>332835.03</v>
          </cell>
          <cell r="C24">
            <v>1152489.71</v>
          </cell>
          <cell r="D24">
            <v>3373516.19</v>
          </cell>
        </row>
        <row r="24">
          <cell r="H24">
            <v>4858840.93</v>
          </cell>
        </row>
        <row r="25">
          <cell r="A25" t="str">
            <v>Chandina</v>
          </cell>
          <cell r="B25">
            <v>2269370.36</v>
          </cell>
          <cell r="C25">
            <v>1629935.35</v>
          </cell>
          <cell r="D25">
            <v>919091.3</v>
          </cell>
        </row>
        <row r="25">
          <cell r="H25">
            <v>4818397.01</v>
          </cell>
        </row>
        <row r="26">
          <cell r="A26" t="str">
            <v>Chauddagram</v>
          </cell>
          <cell r="B26">
            <v>2390137.09</v>
          </cell>
          <cell r="C26">
            <v>1769197.98</v>
          </cell>
          <cell r="D26">
            <v>931679.72</v>
          </cell>
        </row>
        <row r="26">
          <cell r="F26">
            <v>4119121.05</v>
          </cell>
        </row>
        <row r="26">
          <cell r="H26">
            <v>9210135.84</v>
          </cell>
        </row>
        <row r="27">
          <cell r="A27" t="str">
            <v>Chawk Bazar</v>
          </cell>
          <cell r="B27">
            <v>852086.38</v>
          </cell>
          <cell r="C27">
            <v>9378538.19</v>
          </cell>
          <cell r="D27">
            <v>10496418.59</v>
          </cell>
          <cell r="E27">
            <v>3783147.89</v>
          </cell>
          <cell r="F27">
            <v>9220481.68</v>
          </cell>
        </row>
        <row r="27">
          <cell r="H27">
            <v>33730672.73</v>
          </cell>
        </row>
        <row r="28">
          <cell r="A28" t="str">
            <v>Choumohoni</v>
          </cell>
          <cell r="B28">
            <v>838734.28</v>
          </cell>
          <cell r="C28">
            <v>5374122.12</v>
          </cell>
          <cell r="D28">
            <v>4572076.96</v>
          </cell>
        </row>
        <row r="28">
          <cell r="H28">
            <v>10784933.36</v>
          </cell>
        </row>
        <row r="29">
          <cell r="A29" t="str">
            <v>Chuadanga</v>
          </cell>
          <cell r="B29">
            <v>635150.73</v>
          </cell>
          <cell r="C29">
            <v>202404.47</v>
          </cell>
          <cell r="D29">
            <v>3625162.51</v>
          </cell>
        </row>
        <row r="29">
          <cell r="H29">
            <v>4462717.71</v>
          </cell>
        </row>
        <row r="30">
          <cell r="A30" t="str">
            <v>Comilla East</v>
          </cell>
          <cell r="B30">
            <v>1650043.7</v>
          </cell>
          <cell r="C30">
            <v>5587591.88</v>
          </cell>
          <cell r="D30">
            <v>464361.13</v>
          </cell>
        </row>
        <row r="30">
          <cell r="H30">
            <v>7701996.71</v>
          </cell>
        </row>
        <row r="31">
          <cell r="A31" t="str">
            <v>Comilla West</v>
          </cell>
          <cell r="B31">
            <v>1234251.98</v>
          </cell>
          <cell r="C31">
            <v>2936979.37</v>
          </cell>
          <cell r="D31">
            <v>2665562.09</v>
          </cell>
        </row>
        <row r="31">
          <cell r="H31">
            <v>6836793.44</v>
          </cell>
        </row>
        <row r="32">
          <cell r="A32" t="str">
            <v>Companygonj</v>
          </cell>
          <cell r="B32">
            <v>291377.32</v>
          </cell>
          <cell r="C32">
            <v>1969667.23</v>
          </cell>
        </row>
        <row r="32">
          <cell r="H32">
            <v>2261044.55</v>
          </cell>
        </row>
        <row r="33">
          <cell r="A33" t="str">
            <v>Daulatpur</v>
          </cell>
        </row>
        <row r="33">
          <cell r="C33">
            <v>4025573.14</v>
          </cell>
          <cell r="D33">
            <v>2132271.82</v>
          </cell>
        </row>
        <row r="33">
          <cell r="H33">
            <v>6157844.96</v>
          </cell>
        </row>
        <row r="34">
          <cell r="A34" t="str">
            <v>DEPZ</v>
          </cell>
        </row>
        <row r="34">
          <cell r="C34">
            <v>1170507.81</v>
          </cell>
          <cell r="D34">
            <v>6059000.39</v>
          </cell>
        </row>
        <row r="34">
          <cell r="H34">
            <v>7229508.2</v>
          </cell>
        </row>
        <row r="35">
          <cell r="A35" t="str">
            <v>Dhamrai</v>
          </cell>
          <cell r="B35">
            <v>17464.89</v>
          </cell>
          <cell r="C35">
            <v>4890350.29</v>
          </cell>
          <cell r="D35">
            <v>2484717.57</v>
          </cell>
        </row>
        <row r="35">
          <cell r="H35">
            <v>7392532.75</v>
          </cell>
        </row>
        <row r="36">
          <cell r="A36" t="str">
            <v>Dinajpur</v>
          </cell>
          <cell r="B36">
            <v>55350.73</v>
          </cell>
          <cell r="C36">
            <v>2220682.32</v>
          </cell>
          <cell r="D36">
            <v>3591360.84</v>
          </cell>
          <cell r="E36">
            <v>2877802.72</v>
          </cell>
        </row>
        <row r="36">
          <cell r="H36">
            <v>8745196.61</v>
          </cell>
        </row>
        <row r="37">
          <cell r="A37" t="str">
            <v>Elephant Road</v>
          </cell>
          <cell r="B37">
            <v>666108.08</v>
          </cell>
          <cell r="C37">
            <v>6488535.3</v>
          </cell>
          <cell r="D37">
            <v>1378667.04</v>
          </cell>
          <cell r="E37">
            <v>4425284.25</v>
          </cell>
        </row>
        <row r="37">
          <cell r="H37">
            <v>12958594.67</v>
          </cell>
        </row>
        <row r="38">
          <cell r="A38" t="str">
            <v>Faridpur</v>
          </cell>
          <cell r="B38">
            <v>756146.93</v>
          </cell>
          <cell r="C38">
            <v>4615496.31</v>
          </cell>
          <cell r="D38">
            <v>2554892.96</v>
          </cell>
        </row>
        <row r="38">
          <cell r="H38">
            <v>7926536.2</v>
          </cell>
        </row>
        <row r="39">
          <cell r="A39" t="str">
            <v>Fatullah</v>
          </cell>
        </row>
        <row r="39">
          <cell r="C39">
            <v>1118756.31</v>
          </cell>
        </row>
        <row r="39">
          <cell r="H39">
            <v>1118756.31</v>
          </cell>
        </row>
        <row r="40">
          <cell r="A40" t="str">
            <v>Feni</v>
          </cell>
          <cell r="B40">
            <v>242467.28</v>
          </cell>
          <cell r="C40">
            <v>860769.8</v>
          </cell>
          <cell r="D40">
            <v>1979661.82</v>
          </cell>
        </row>
        <row r="40">
          <cell r="H40">
            <v>3082898.9</v>
          </cell>
        </row>
        <row r="41">
          <cell r="A41" t="str">
            <v>Fulbari</v>
          </cell>
          <cell r="B41">
            <v>330695.31</v>
          </cell>
        </row>
        <row r="41">
          <cell r="H41">
            <v>330695.31</v>
          </cell>
        </row>
        <row r="42">
          <cell r="A42" t="str">
            <v>Gaibandha</v>
          </cell>
          <cell r="B42">
            <v>297271.96</v>
          </cell>
          <cell r="C42">
            <v>1548276.2</v>
          </cell>
        </row>
        <row r="42">
          <cell r="H42">
            <v>1845548.16</v>
          </cell>
        </row>
        <row r="43">
          <cell r="A43" t="str">
            <v>Gazipur</v>
          </cell>
          <cell r="B43">
            <v>81351.24</v>
          </cell>
          <cell r="C43">
            <v>4906186.61</v>
          </cell>
          <cell r="D43">
            <v>2424762.79</v>
          </cell>
        </row>
        <row r="43">
          <cell r="H43">
            <v>7412300.64</v>
          </cell>
        </row>
        <row r="44">
          <cell r="A44" t="str">
            <v>Ghatail</v>
          </cell>
        </row>
        <row r="44">
          <cell r="C44">
            <v>559373.11</v>
          </cell>
        </row>
        <row r="44">
          <cell r="H44">
            <v>559373.11</v>
          </cell>
        </row>
        <row r="45">
          <cell r="A45" t="str">
            <v>Gopalgonj</v>
          </cell>
          <cell r="B45">
            <v>1811063.09</v>
          </cell>
          <cell r="C45">
            <v>4029395.22</v>
          </cell>
          <cell r="D45">
            <v>4410971.46</v>
          </cell>
        </row>
        <row r="45">
          <cell r="G45">
            <v>34913995.83</v>
          </cell>
          <cell r="H45">
            <v>45165425.6</v>
          </cell>
        </row>
        <row r="46">
          <cell r="A46" t="str">
            <v>Gulistan</v>
          </cell>
        </row>
        <row r="46">
          <cell r="C46">
            <v>576065.07</v>
          </cell>
          <cell r="D46">
            <v>111567.57</v>
          </cell>
          <cell r="E46">
            <v>2452452.21</v>
          </cell>
        </row>
        <row r="46">
          <cell r="H46">
            <v>3140084.85</v>
          </cell>
        </row>
        <row r="47">
          <cell r="A47" t="str">
            <v>Halishahar</v>
          </cell>
        </row>
        <row r="47">
          <cell r="C47">
            <v>780363.95</v>
          </cell>
          <cell r="D47">
            <v>1557103.45</v>
          </cell>
        </row>
        <row r="47">
          <cell r="H47">
            <v>2337467.4</v>
          </cell>
        </row>
        <row r="48">
          <cell r="A48" t="str">
            <v>Hasnabad</v>
          </cell>
          <cell r="B48">
            <v>1135557.88</v>
          </cell>
          <cell r="C48">
            <v>3148246.88</v>
          </cell>
          <cell r="D48">
            <v>4575210.68</v>
          </cell>
        </row>
        <row r="48">
          <cell r="F48">
            <v>2255552.57</v>
          </cell>
        </row>
        <row r="48">
          <cell r="H48">
            <v>11114568.01</v>
          </cell>
        </row>
        <row r="49">
          <cell r="A49" t="str">
            <v>Hathazari</v>
          </cell>
          <cell r="B49">
            <v>602659.85</v>
          </cell>
          <cell r="C49">
            <v>2565227.78</v>
          </cell>
          <cell r="D49">
            <v>6361907.29</v>
          </cell>
          <cell r="E49">
            <v>1468685.95</v>
          </cell>
        </row>
        <row r="49">
          <cell r="H49">
            <v>10998480.87</v>
          </cell>
        </row>
        <row r="50">
          <cell r="A50" t="str">
            <v>Hazigonj</v>
          </cell>
          <cell r="B50">
            <v>636235</v>
          </cell>
          <cell r="C50">
            <v>3783014.39</v>
          </cell>
          <cell r="D50">
            <v>4577559.22</v>
          </cell>
          <cell r="E50">
            <v>3845266.5</v>
          </cell>
        </row>
        <row r="50">
          <cell r="H50">
            <v>12842075.11</v>
          </cell>
        </row>
        <row r="51">
          <cell r="A51" t="str">
            <v>Hobigonj</v>
          </cell>
          <cell r="B51">
            <v>578012.55</v>
          </cell>
          <cell r="C51">
            <v>1326635.45</v>
          </cell>
        </row>
        <row r="51">
          <cell r="H51">
            <v>1904648</v>
          </cell>
        </row>
        <row r="52">
          <cell r="A52" t="str">
            <v>Imamgonj</v>
          </cell>
          <cell r="B52">
            <v>708510.67</v>
          </cell>
          <cell r="C52">
            <v>867981.76</v>
          </cell>
        </row>
        <row r="52">
          <cell r="H52">
            <v>1576492.43</v>
          </cell>
        </row>
        <row r="53">
          <cell r="A53" t="str">
            <v>Ishwardi</v>
          </cell>
          <cell r="B53">
            <v>534087.68</v>
          </cell>
          <cell r="C53">
            <v>5531431.23</v>
          </cell>
          <cell r="D53">
            <v>4492915.09</v>
          </cell>
        </row>
        <row r="53">
          <cell r="G53">
            <v>12789704.92</v>
          </cell>
          <cell r="H53">
            <v>23348138.92</v>
          </cell>
        </row>
        <row r="54">
          <cell r="A54" t="str">
            <v>Islambagh</v>
          </cell>
        </row>
        <row r="54">
          <cell r="C54">
            <v>2281102.21</v>
          </cell>
          <cell r="D54">
            <v>549628.7</v>
          </cell>
        </row>
        <row r="54">
          <cell r="H54">
            <v>2830730.91</v>
          </cell>
        </row>
        <row r="55">
          <cell r="A55" t="str">
            <v>Islampur Road</v>
          </cell>
        </row>
        <row r="55">
          <cell r="C55">
            <v>3141425.64</v>
          </cell>
          <cell r="D55">
            <v>10104294.21</v>
          </cell>
          <cell r="E55">
            <v>1983999.97</v>
          </cell>
        </row>
        <row r="55">
          <cell r="H55">
            <v>15229719.82</v>
          </cell>
        </row>
        <row r="56">
          <cell r="A56" t="str">
            <v>Jatrabari</v>
          </cell>
          <cell r="B56">
            <v>1518608.82</v>
          </cell>
          <cell r="C56">
            <v>4984428.1</v>
          </cell>
          <cell r="D56">
            <v>2307707.96</v>
          </cell>
        </row>
        <row r="56">
          <cell r="H56">
            <v>8810744.88</v>
          </cell>
        </row>
        <row r="57">
          <cell r="A57" t="str">
            <v>Jessore</v>
          </cell>
          <cell r="B57">
            <v>467044.58</v>
          </cell>
          <cell r="C57">
            <v>4901324.15</v>
          </cell>
          <cell r="D57">
            <v>5374679.79</v>
          </cell>
        </row>
        <row r="57">
          <cell r="H57">
            <v>10743048.52</v>
          </cell>
        </row>
        <row r="58">
          <cell r="A58" t="str">
            <v>Jhenaidah</v>
          </cell>
          <cell r="B58">
            <v>473106.7</v>
          </cell>
          <cell r="C58">
            <v>1947525.24</v>
          </cell>
        </row>
        <row r="58">
          <cell r="H58">
            <v>2420631.94</v>
          </cell>
        </row>
        <row r="59">
          <cell r="A59" t="str">
            <v>Jikorgacha</v>
          </cell>
          <cell r="B59">
            <v>377944.37</v>
          </cell>
          <cell r="C59">
            <v>2742085.24</v>
          </cell>
          <cell r="D59">
            <v>1636047.29</v>
          </cell>
        </row>
        <row r="59">
          <cell r="H59">
            <v>4756076.9</v>
          </cell>
        </row>
        <row r="60">
          <cell r="A60" t="str">
            <v>Joydebpur</v>
          </cell>
        </row>
        <row r="60">
          <cell r="C60">
            <v>3181590.67</v>
          </cell>
          <cell r="D60">
            <v>4820575.1</v>
          </cell>
        </row>
        <row r="60">
          <cell r="H60">
            <v>8002165.77</v>
          </cell>
        </row>
        <row r="61">
          <cell r="A61" t="str">
            <v>Joypurhat</v>
          </cell>
          <cell r="B61">
            <v>97109.37</v>
          </cell>
          <cell r="C61">
            <v>1784363.09</v>
          </cell>
          <cell r="D61">
            <v>3772943.75</v>
          </cell>
        </row>
        <row r="61">
          <cell r="G61">
            <v>16237808.51</v>
          </cell>
          <cell r="H61">
            <v>21892224.72</v>
          </cell>
        </row>
        <row r="62">
          <cell r="A62" t="str">
            <v>Kadamtali</v>
          </cell>
          <cell r="B62">
            <v>740981.15</v>
          </cell>
          <cell r="C62">
            <v>10865174.88</v>
          </cell>
          <cell r="D62">
            <v>7715531.6</v>
          </cell>
        </row>
        <row r="62">
          <cell r="H62">
            <v>19321687.63</v>
          </cell>
        </row>
        <row r="63">
          <cell r="A63" t="str">
            <v>Kalurghat</v>
          </cell>
          <cell r="B63">
            <v>567247.36</v>
          </cell>
          <cell r="C63">
            <v>3063601.06</v>
          </cell>
          <cell r="D63">
            <v>5420666.51</v>
          </cell>
        </row>
        <row r="63">
          <cell r="H63">
            <v>9051514.93</v>
          </cell>
        </row>
        <row r="64">
          <cell r="A64" t="str">
            <v>Kamrangirchar</v>
          </cell>
          <cell r="B64">
            <v>636331.24</v>
          </cell>
          <cell r="C64">
            <v>3028870.89</v>
          </cell>
        </row>
        <row r="64">
          <cell r="H64">
            <v>3665202.13</v>
          </cell>
        </row>
        <row r="65">
          <cell r="A65" t="str">
            <v>Kazipara</v>
          </cell>
          <cell r="B65">
            <v>582812.72</v>
          </cell>
          <cell r="C65">
            <v>816629.67</v>
          </cell>
        </row>
        <row r="65">
          <cell r="H65">
            <v>1399442.39</v>
          </cell>
        </row>
        <row r="66">
          <cell r="A66" t="str">
            <v>Keranigonj</v>
          </cell>
          <cell r="B66">
            <v>526220.73</v>
          </cell>
          <cell r="C66">
            <v>2913275.89</v>
          </cell>
          <cell r="D66">
            <v>2423916.93</v>
          </cell>
        </row>
        <row r="66">
          <cell r="H66">
            <v>5863413.55</v>
          </cell>
        </row>
        <row r="67">
          <cell r="A67" t="str">
            <v>Keshobpur</v>
          </cell>
          <cell r="B67">
            <v>807593.27</v>
          </cell>
          <cell r="C67">
            <v>2682605.13</v>
          </cell>
          <cell r="D67">
            <v>2911013.33</v>
          </cell>
        </row>
        <row r="67">
          <cell r="H67">
            <v>6401211.73</v>
          </cell>
        </row>
        <row r="68">
          <cell r="A68" t="str">
            <v>Khatungonj</v>
          </cell>
          <cell r="B68">
            <v>187158.41</v>
          </cell>
          <cell r="C68">
            <v>4163021.49</v>
          </cell>
          <cell r="D68">
            <v>3500909.98</v>
          </cell>
        </row>
        <row r="68">
          <cell r="H68">
            <v>7851089.88</v>
          </cell>
        </row>
        <row r="69">
          <cell r="A69" t="str">
            <v>Khulna</v>
          </cell>
          <cell r="B69">
            <v>1926634.88</v>
          </cell>
          <cell r="C69">
            <v>1018206.48</v>
          </cell>
          <cell r="D69">
            <v>5274876.42</v>
          </cell>
        </row>
        <row r="69">
          <cell r="H69">
            <v>8219717.78</v>
          </cell>
        </row>
        <row r="70">
          <cell r="A70" t="str">
            <v>Konabari</v>
          </cell>
          <cell r="B70">
            <v>1289470.67</v>
          </cell>
          <cell r="C70">
            <v>2314783.37</v>
          </cell>
        </row>
        <row r="70">
          <cell r="H70">
            <v>3604254.04</v>
          </cell>
        </row>
        <row r="71">
          <cell r="A71" t="str">
            <v>Kosba</v>
          </cell>
          <cell r="B71">
            <v>391717.18</v>
          </cell>
          <cell r="C71">
            <v>825452.74</v>
          </cell>
        </row>
        <row r="71">
          <cell r="H71">
            <v>1217169.92</v>
          </cell>
        </row>
        <row r="72">
          <cell r="A72" t="str">
            <v>Kotiadi</v>
          </cell>
          <cell r="B72">
            <v>905088.51</v>
          </cell>
          <cell r="C72">
            <v>1618079.94</v>
          </cell>
        </row>
        <row r="72">
          <cell r="H72">
            <v>2523168.45</v>
          </cell>
        </row>
        <row r="73">
          <cell r="A73" t="str">
            <v>Kurigram</v>
          </cell>
          <cell r="B73">
            <v>2868560.7</v>
          </cell>
          <cell r="C73">
            <v>1816930.13</v>
          </cell>
        </row>
        <row r="73">
          <cell r="F73">
            <v>253168.1</v>
          </cell>
        </row>
        <row r="73">
          <cell r="H73">
            <v>4938658.93</v>
          </cell>
        </row>
        <row r="74">
          <cell r="A74" t="str">
            <v>Kushtia</v>
          </cell>
          <cell r="B74">
            <v>3339052.98</v>
          </cell>
          <cell r="C74">
            <v>5742304.82</v>
          </cell>
          <cell r="D74">
            <v>3857973.18</v>
          </cell>
        </row>
        <row r="74">
          <cell r="H74">
            <v>12939330.98</v>
          </cell>
        </row>
        <row r="75">
          <cell r="A75" t="str">
            <v>Laksham</v>
          </cell>
          <cell r="B75">
            <v>982489.28</v>
          </cell>
          <cell r="C75">
            <v>4280044.75</v>
          </cell>
          <cell r="D75">
            <v>2315436.2</v>
          </cell>
        </row>
        <row r="75">
          <cell r="H75">
            <v>7577970.23</v>
          </cell>
        </row>
        <row r="76">
          <cell r="A76" t="str">
            <v>Laxmipur</v>
          </cell>
          <cell r="B76">
            <v>670590.65</v>
          </cell>
          <cell r="C76">
            <v>3280165.33</v>
          </cell>
          <cell r="D76">
            <v>304801.84</v>
          </cell>
        </row>
        <row r="76">
          <cell r="H76">
            <v>4255557.82</v>
          </cell>
        </row>
        <row r="77">
          <cell r="A77" t="str">
            <v>Lohagora, CTG</v>
          </cell>
          <cell r="B77">
            <v>792583.16</v>
          </cell>
          <cell r="C77">
            <v>1477526.49</v>
          </cell>
        </row>
        <row r="77">
          <cell r="H77">
            <v>2270109.65</v>
          </cell>
        </row>
        <row r="78">
          <cell r="A78" t="str">
            <v>Madhabpur</v>
          </cell>
          <cell r="B78">
            <v>1097197.78</v>
          </cell>
          <cell r="C78">
            <v>45133.34</v>
          </cell>
        </row>
        <row r="78">
          <cell r="H78">
            <v>1142331.12</v>
          </cell>
        </row>
        <row r="79">
          <cell r="A79" t="str">
            <v>Magura</v>
          </cell>
          <cell r="B79">
            <v>1195341.21</v>
          </cell>
          <cell r="C79">
            <v>1520726.14</v>
          </cell>
          <cell r="D79">
            <v>25469.37</v>
          </cell>
        </row>
        <row r="79">
          <cell r="H79">
            <v>2741536.72</v>
          </cell>
        </row>
        <row r="80">
          <cell r="A80" t="str">
            <v>Maijdee</v>
          </cell>
          <cell r="B80">
            <v>1460591.24</v>
          </cell>
          <cell r="C80">
            <v>4482523.93</v>
          </cell>
          <cell r="D80">
            <v>3400291.28</v>
          </cell>
        </row>
        <row r="80">
          <cell r="H80">
            <v>9343406.45</v>
          </cell>
        </row>
        <row r="81">
          <cell r="A81" t="str">
            <v>Manikgonj</v>
          </cell>
        </row>
        <row r="81">
          <cell r="C81">
            <v>1626429.97</v>
          </cell>
        </row>
        <row r="81">
          <cell r="H81">
            <v>1626429.97</v>
          </cell>
        </row>
        <row r="82">
          <cell r="A82" t="str">
            <v>Mirpur</v>
          </cell>
          <cell r="B82">
            <v>5865.85</v>
          </cell>
          <cell r="C82">
            <v>8102298.85</v>
          </cell>
          <cell r="D82">
            <v>3711734.66</v>
          </cell>
        </row>
        <row r="82">
          <cell r="H82">
            <v>11819899.36</v>
          </cell>
        </row>
        <row r="83">
          <cell r="A83" t="str">
            <v>Moghbazar</v>
          </cell>
          <cell r="B83">
            <v>215494.88</v>
          </cell>
          <cell r="C83">
            <v>644678.33</v>
          </cell>
          <cell r="D83">
            <v>1019880.18</v>
          </cell>
        </row>
        <row r="83">
          <cell r="H83">
            <v>1880053.39</v>
          </cell>
        </row>
        <row r="84">
          <cell r="A84" t="str">
            <v>Mohammadpur</v>
          </cell>
          <cell r="B84">
            <v>607838.87</v>
          </cell>
          <cell r="C84">
            <v>1777642.73</v>
          </cell>
          <cell r="D84">
            <v>5022099.18</v>
          </cell>
        </row>
        <row r="84">
          <cell r="H84">
            <v>7407580.78</v>
          </cell>
        </row>
        <row r="85">
          <cell r="A85" t="str">
            <v>Mymensingh</v>
          </cell>
          <cell r="B85">
            <v>1053598.61</v>
          </cell>
          <cell r="C85">
            <v>5695289.45</v>
          </cell>
          <cell r="D85">
            <v>1637610.93</v>
          </cell>
        </row>
        <row r="85">
          <cell r="H85">
            <v>8386498.99</v>
          </cell>
        </row>
        <row r="86">
          <cell r="A86" t="str">
            <v>Nangolkot</v>
          </cell>
          <cell r="B86">
            <v>25690.45</v>
          </cell>
          <cell r="C86">
            <v>1315710.88</v>
          </cell>
        </row>
        <row r="86">
          <cell r="H86">
            <v>1341401.33</v>
          </cell>
        </row>
        <row r="87">
          <cell r="A87" t="str">
            <v>Naogaon</v>
          </cell>
          <cell r="B87">
            <v>361248.94</v>
          </cell>
          <cell r="C87">
            <v>1472178.55</v>
          </cell>
        </row>
        <row r="87">
          <cell r="H87">
            <v>1833427.49</v>
          </cell>
        </row>
        <row r="88">
          <cell r="A88" t="str">
            <v>Narail</v>
          </cell>
          <cell r="B88">
            <v>529497.76</v>
          </cell>
          <cell r="C88">
            <v>84369.39</v>
          </cell>
        </row>
        <row r="88">
          <cell r="H88">
            <v>613867.15</v>
          </cell>
        </row>
        <row r="89">
          <cell r="A89" t="str">
            <v>Narayangonj</v>
          </cell>
        </row>
        <row r="89">
          <cell r="C89">
            <v>1114230.61</v>
          </cell>
          <cell r="D89">
            <v>487145.3</v>
          </cell>
        </row>
        <row r="89">
          <cell r="H89">
            <v>1601375.91</v>
          </cell>
        </row>
        <row r="90">
          <cell r="A90" t="str">
            <v>Narsingdi</v>
          </cell>
          <cell r="B90">
            <v>399461.52</v>
          </cell>
          <cell r="C90">
            <v>1183562.05</v>
          </cell>
          <cell r="D90">
            <v>3991022.01</v>
          </cell>
        </row>
        <row r="90">
          <cell r="H90">
            <v>5574045.58</v>
          </cell>
        </row>
        <row r="91">
          <cell r="A91" t="str">
            <v>Nawabgonj</v>
          </cell>
          <cell r="B91">
            <v>116000.81</v>
          </cell>
          <cell r="C91">
            <v>2705697.53</v>
          </cell>
        </row>
        <row r="91">
          <cell r="H91">
            <v>2821698.34</v>
          </cell>
        </row>
        <row r="92">
          <cell r="A92" t="str">
            <v>Nawabpur</v>
          </cell>
          <cell r="B92">
            <v>963554.78</v>
          </cell>
          <cell r="C92">
            <v>362300.23</v>
          </cell>
          <cell r="D92">
            <v>2601644.6</v>
          </cell>
        </row>
        <row r="92">
          <cell r="H92">
            <v>3927499.61</v>
          </cell>
        </row>
        <row r="93">
          <cell r="A93" t="str">
            <v>Nondon Kanon</v>
          </cell>
        </row>
        <row r="93">
          <cell r="C93">
            <v>4968237.17</v>
          </cell>
        </row>
        <row r="93">
          <cell r="H93">
            <v>4968237.17</v>
          </cell>
        </row>
        <row r="94">
          <cell r="A94" t="str">
            <v>Pabna</v>
          </cell>
        </row>
        <row r="94">
          <cell r="C94">
            <v>893970.85</v>
          </cell>
        </row>
        <row r="94">
          <cell r="H94">
            <v>893970.85</v>
          </cell>
        </row>
        <row r="95">
          <cell r="A95" t="str">
            <v>Pahartali</v>
          </cell>
        </row>
        <row r="95">
          <cell r="C95">
            <v>224644.22</v>
          </cell>
          <cell r="D95">
            <v>9040324.3</v>
          </cell>
          <cell r="E95">
            <v>15257581.1</v>
          </cell>
        </row>
        <row r="95">
          <cell r="H95">
            <v>24522549.62</v>
          </cell>
        </row>
        <row r="96">
          <cell r="A96" t="str">
            <v>Panchaghar</v>
          </cell>
          <cell r="B96">
            <v>23200.91</v>
          </cell>
          <cell r="C96">
            <v>2645727.88</v>
          </cell>
          <cell r="D96">
            <v>885008.01</v>
          </cell>
        </row>
        <row r="96">
          <cell r="H96">
            <v>3553936.8</v>
          </cell>
        </row>
        <row r="97">
          <cell r="A97" t="str">
            <v>Patuakhali</v>
          </cell>
          <cell r="B97">
            <v>2315643.57</v>
          </cell>
          <cell r="C97">
            <v>6612965.84</v>
          </cell>
          <cell r="D97">
            <v>4388410.85</v>
          </cell>
        </row>
        <row r="97">
          <cell r="H97">
            <v>13317020.26</v>
          </cell>
        </row>
        <row r="98">
          <cell r="A98" t="str">
            <v>Potiya</v>
          </cell>
          <cell r="B98">
            <v>872580.33</v>
          </cell>
          <cell r="C98">
            <v>2086010.44</v>
          </cell>
          <cell r="D98">
            <v>8403060.92</v>
          </cell>
        </row>
        <row r="98">
          <cell r="H98">
            <v>11361651.69</v>
          </cell>
        </row>
        <row r="99">
          <cell r="A99" t="str">
            <v>Rajbari</v>
          </cell>
          <cell r="B99">
            <v>1186661.27</v>
          </cell>
          <cell r="C99">
            <v>4236126.09</v>
          </cell>
          <cell r="D99">
            <v>1109347.71</v>
          </cell>
          <cell r="E99">
            <v>39162.51</v>
          </cell>
          <cell r="F99">
            <v>298313.23</v>
          </cell>
        </row>
        <row r="99">
          <cell r="H99">
            <v>6869610.81</v>
          </cell>
        </row>
        <row r="100">
          <cell r="A100" t="str">
            <v>Rajshahi</v>
          </cell>
          <cell r="B100">
            <v>1051278.65</v>
          </cell>
          <cell r="C100">
            <v>5785101.44</v>
          </cell>
          <cell r="D100">
            <v>1148258.08</v>
          </cell>
        </row>
        <row r="100">
          <cell r="H100">
            <v>7984638.17</v>
          </cell>
        </row>
        <row r="101">
          <cell r="A101" t="str">
            <v>Rangpur</v>
          </cell>
          <cell r="B101">
            <v>1184154.93</v>
          </cell>
          <cell r="C101">
            <v>1821202.23</v>
          </cell>
        </row>
        <row r="101">
          <cell r="H101">
            <v>3005357.16</v>
          </cell>
        </row>
        <row r="102">
          <cell r="A102" t="str">
            <v>Savar</v>
          </cell>
          <cell r="B102">
            <v>780759.63</v>
          </cell>
          <cell r="C102">
            <v>4923409.73</v>
          </cell>
          <cell r="D102">
            <v>3898221.2</v>
          </cell>
        </row>
        <row r="102">
          <cell r="H102">
            <v>9602390.56</v>
          </cell>
        </row>
        <row r="103">
          <cell r="A103" t="str">
            <v>Savar-2</v>
          </cell>
        </row>
        <row r="103">
          <cell r="C103">
            <v>1592467.72</v>
          </cell>
        </row>
        <row r="103">
          <cell r="E103">
            <v>5873472.22</v>
          </cell>
        </row>
        <row r="103">
          <cell r="H103">
            <v>7465939.94</v>
          </cell>
        </row>
        <row r="104">
          <cell r="A104" t="str">
            <v>Shaheshtagonj</v>
          </cell>
          <cell r="B104">
            <v>727149.93</v>
          </cell>
          <cell r="C104">
            <v>584729.88</v>
          </cell>
          <cell r="D104">
            <v>4791883.48</v>
          </cell>
        </row>
        <row r="104">
          <cell r="H104">
            <v>6103763.29</v>
          </cell>
        </row>
        <row r="105">
          <cell r="A105" t="str">
            <v>Shambazar</v>
          </cell>
          <cell r="B105">
            <v>726145.73</v>
          </cell>
          <cell r="C105">
            <v>1626642.52</v>
          </cell>
          <cell r="D105">
            <v>3617242.7</v>
          </cell>
        </row>
        <row r="105">
          <cell r="H105">
            <v>5970030.95</v>
          </cell>
        </row>
        <row r="106">
          <cell r="A106" t="str">
            <v>Shariatpur</v>
          </cell>
          <cell r="B106">
            <v>763029.81</v>
          </cell>
          <cell r="C106">
            <v>1226485.09</v>
          </cell>
        </row>
        <row r="106">
          <cell r="H106">
            <v>1989514.9</v>
          </cell>
        </row>
        <row r="107">
          <cell r="A107" t="str">
            <v>Shiddirgonj</v>
          </cell>
        </row>
        <row r="107">
          <cell r="C107">
            <v>946343.28</v>
          </cell>
        </row>
        <row r="107">
          <cell r="H107">
            <v>946343.28</v>
          </cell>
        </row>
        <row r="108">
          <cell r="A108" t="str">
            <v>Sirajgonj</v>
          </cell>
          <cell r="B108">
            <v>768348.29</v>
          </cell>
          <cell r="C108">
            <v>575982.26</v>
          </cell>
        </row>
        <row r="108">
          <cell r="H108">
            <v>1344330.55</v>
          </cell>
        </row>
        <row r="109">
          <cell r="A109" t="str">
            <v>Sonir Akhra</v>
          </cell>
          <cell r="B109">
            <v>75560.22</v>
          </cell>
          <cell r="C109">
            <v>1896899.44</v>
          </cell>
        </row>
        <row r="109">
          <cell r="H109">
            <v>1972459.66</v>
          </cell>
        </row>
        <row r="110">
          <cell r="A110" t="str">
            <v>South Surma</v>
          </cell>
          <cell r="B110">
            <v>68254.75</v>
          </cell>
          <cell r="C110">
            <v>3473737.7</v>
          </cell>
        </row>
        <row r="110">
          <cell r="H110">
            <v>3541992.45</v>
          </cell>
        </row>
        <row r="111">
          <cell r="A111" t="str">
            <v>Sreenagar</v>
          </cell>
        </row>
        <row r="111">
          <cell r="C111">
            <v>988943.03</v>
          </cell>
        </row>
        <row r="111">
          <cell r="H111">
            <v>988943.03</v>
          </cell>
        </row>
        <row r="112">
          <cell r="A112" t="str">
            <v>Sreepur</v>
          </cell>
        </row>
        <row r="112">
          <cell r="C112">
            <v>1929247.23</v>
          </cell>
        </row>
        <row r="112">
          <cell r="H112">
            <v>1929247.23</v>
          </cell>
        </row>
        <row r="113">
          <cell r="A113" t="str">
            <v>Swarupkathi</v>
          </cell>
          <cell r="B113">
            <v>2842668.09</v>
          </cell>
          <cell r="C113">
            <v>2721033.76</v>
          </cell>
        </row>
        <row r="113">
          <cell r="H113">
            <v>5563701.85</v>
          </cell>
        </row>
        <row r="114">
          <cell r="A114" t="str">
            <v>Syedpur</v>
          </cell>
          <cell r="B114">
            <v>716852.68</v>
          </cell>
        </row>
        <row r="114">
          <cell r="H114">
            <v>716852.68</v>
          </cell>
        </row>
        <row r="115">
          <cell r="A115" t="str">
            <v>Tangail</v>
          </cell>
          <cell r="B115">
            <v>1268144.02</v>
          </cell>
          <cell r="C115">
            <v>1580129.62</v>
          </cell>
          <cell r="D115">
            <v>1603934.95</v>
          </cell>
        </row>
        <row r="115">
          <cell r="H115">
            <v>4452208.59</v>
          </cell>
        </row>
        <row r="116">
          <cell r="A116" t="str">
            <v>Thakurgaon</v>
          </cell>
          <cell r="B116">
            <v>1098669.43</v>
          </cell>
          <cell r="C116">
            <v>2522595.39</v>
          </cell>
          <cell r="D116">
            <v>38455.34</v>
          </cell>
        </row>
        <row r="116">
          <cell r="F116">
            <v>577796.48</v>
          </cell>
        </row>
        <row r="116">
          <cell r="H116">
            <v>4237516.64</v>
          </cell>
        </row>
        <row r="117">
          <cell r="A117" t="str">
            <v>Tongi</v>
          </cell>
          <cell r="B117">
            <v>956825.25</v>
          </cell>
          <cell r="C117">
            <v>7172622.78</v>
          </cell>
          <cell r="D117">
            <v>5545213.77</v>
          </cell>
        </row>
        <row r="117">
          <cell r="H117">
            <v>13674661.8</v>
          </cell>
        </row>
        <row r="118">
          <cell r="A118" t="str">
            <v>Zinzira</v>
          </cell>
          <cell r="B118">
            <v>768978.71</v>
          </cell>
          <cell r="C118">
            <v>5170746.96</v>
          </cell>
        </row>
        <row r="118">
          <cell r="H118">
            <v>5939725.67</v>
          </cell>
        </row>
        <row r="119">
          <cell r="A119" t="str">
            <v>Grand Total</v>
          </cell>
          <cell r="B119">
            <v>81059881.49</v>
          </cell>
          <cell r="C119">
            <v>325137003.93</v>
          </cell>
          <cell r="D119">
            <v>250673085.28</v>
          </cell>
          <cell r="E119">
            <v>51657769.94</v>
          </cell>
          <cell r="F119">
            <v>23534261.4</v>
          </cell>
          <cell r="G119">
            <v>72001036.64</v>
          </cell>
          <cell r="H119">
            <v>804063038.68</v>
          </cell>
        </row>
      </sheetData>
      <sheetData sheetId="18">
        <row r="5">
          <cell r="A5" t="str">
            <v>Agailjhara</v>
          </cell>
          <cell r="B5">
            <v>2596286.99</v>
          </cell>
          <cell r="C5">
            <v>3951991.57</v>
          </cell>
          <cell r="D5">
            <v>2621280.81</v>
          </cell>
          <cell r="E5">
            <v>562009.43</v>
          </cell>
        </row>
        <row r="5">
          <cell r="H5">
            <v>9731568.8</v>
          </cell>
        </row>
        <row r="6">
          <cell r="A6" t="str">
            <v>Ambarkhana</v>
          </cell>
          <cell r="B6">
            <v>2116652.18</v>
          </cell>
          <cell r="C6">
            <v>779349.74</v>
          </cell>
        </row>
        <row r="6">
          <cell r="H6">
            <v>2896001.92</v>
          </cell>
        </row>
        <row r="7">
          <cell r="A7" t="str">
            <v>Anderkilla</v>
          </cell>
          <cell r="B7">
            <v>1026191.17</v>
          </cell>
          <cell r="C7">
            <v>20301295.25</v>
          </cell>
          <cell r="D7">
            <v>21271326.93</v>
          </cell>
        </row>
        <row r="7">
          <cell r="H7">
            <v>42598813.35</v>
          </cell>
        </row>
        <row r="8">
          <cell r="A8" t="str">
            <v>Ashulia</v>
          </cell>
          <cell r="B8">
            <v>945378.63</v>
          </cell>
          <cell r="C8">
            <v>2695449.76</v>
          </cell>
          <cell r="D8">
            <v>7898768.63</v>
          </cell>
        </row>
        <row r="8">
          <cell r="H8">
            <v>11539597.02</v>
          </cell>
        </row>
        <row r="9">
          <cell r="A9" t="str">
            <v>Badda</v>
          </cell>
          <cell r="B9">
            <v>747477.35</v>
          </cell>
          <cell r="C9">
            <v>4313222.6</v>
          </cell>
          <cell r="D9">
            <v>5508373.86</v>
          </cell>
        </row>
        <row r="9">
          <cell r="G9">
            <v>8059527.38</v>
          </cell>
          <cell r="H9">
            <v>18628601.19</v>
          </cell>
        </row>
        <row r="10">
          <cell r="A10" t="str">
            <v>Bagerhat</v>
          </cell>
          <cell r="B10">
            <v>2969105.26</v>
          </cell>
          <cell r="C10">
            <v>2854613.41</v>
          </cell>
        </row>
        <row r="10">
          <cell r="H10">
            <v>5823718.67</v>
          </cell>
        </row>
        <row r="11">
          <cell r="A11" t="str">
            <v>Baligaon</v>
          </cell>
          <cell r="B11">
            <v>201710.11</v>
          </cell>
          <cell r="C11">
            <v>1527593.41</v>
          </cell>
        </row>
        <row r="11">
          <cell r="H11">
            <v>1729303.52</v>
          </cell>
        </row>
        <row r="12">
          <cell r="A12" t="str">
            <v>Banasree</v>
          </cell>
          <cell r="B12">
            <v>475299.97</v>
          </cell>
          <cell r="C12">
            <v>7673010.96</v>
          </cell>
          <cell r="D12">
            <v>3843790.26</v>
          </cell>
          <cell r="E12">
            <v>5231850.17</v>
          </cell>
          <cell r="F12">
            <v>6878510.34</v>
          </cell>
        </row>
        <row r="12">
          <cell r="H12">
            <v>24102461.7</v>
          </cell>
        </row>
        <row r="13">
          <cell r="A13" t="str">
            <v>Bancharampur</v>
          </cell>
          <cell r="B13">
            <v>873487.9</v>
          </cell>
          <cell r="C13">
            <v>3935878.3</v>
          </cell>
        </row>
        <row r="13">
          <cell r="H13">
            <v>4809366.2</v>
          </cell>
        </row>
        <row r="14">
          <cell r="A14" t="str">
            <v>Bandartila </v>
          </cell>
          <cell r="B14">
            <v>1003731.66</v>
          </cell>
          <cell r="C14">
            <v>4772549.86</v>
          </cell>
          <cell r="D14">
            <v>4326710.99</v>
          </cell>
          <cell r="E14">
            <v>4962246.38</v>
          </cell>
          <cell r="F14">
            <v>6809828.29</v>
          </cell>
        </row>
        <row r="14">
          <cell r="H14">
            <v>21875067.18</v>
          </cell>
        </row>
        <row r="15">
          <cell r="A15" t="str">
            <v>Barguna</v>
          </cell>
          <cell r="B15">
            <v>3242202.55</v>
          </cell>
          <cell r="C15">
            <v>9275801.74</v>
          </cell>
          <cell r="D15">
            <v>1060743.3</v>
          </cell>
        </row>
        <row r="15">
          <cell r="F15">
            <v>6605436.94</v>
          </cell>
        </row>
        <row r="15">
          <cell r="H15">
            <v>20184184.53</v>
          </cell>
        </row>
        <row r="16">
          <cell r="A16" t="str">
            <v>Barishal</v>
          </cell>
          <cell r="B16">
            <v>1644440.34</v>
          </cell>
          <cell r="C16">
            <v>9482453.41</v>
          </cell>
          <cell r="D16">
            <v>7422669.29</v>
          </cell>
        </row>
        <row r="16">
          <cell r="H16">
            <v>18549563.04</v>
          </cell>
        </row>
        <row r="17">
          <cell r="A17" t="str">
            <v>Bhanga</v>
          </cell>
          <cell r="B17">
            <v>4049577.91</v>
          </cell>
          <cell r="C17">
            <v>7718620.12</v>
          </cell>
          <cell r="D17">
            <v>3421135.9</v>
          </cell>
        </row>
        <row r="17">
          <cell r="H17">
            <v>15189333.93</v>
          </cell>
        </row>
        <row r="18">
          <cell r="A18" t="str">
            <v>Bharaib</v>
          </cell>
          <cell r="B18">
            <v>851846.09</v>
          </cell>
          <cell r="C18">
            <v>5823496.41</v>
          </cell>
          <cell r="D18">
            <v>776107.92</v>
          </cell>
        </row>
        <row r="18">
          <cell r="H18">
            <v>7451450.42</v>
          </cell>
        </row>
        <row r="19">
          <cell r="A19" t="str">
            <v>Bheramara</v>
          </cell>
          <cell r="B19">
            <v>4393416.61</v>
          </cell>
          <cell r="C19">
            <v>5645322.01</v>
          </cell>
          <cell r="D19">
            <v>9340002.12</v>
          </cell>
        </row>
        <row r="19">
          <cell r="H19">
            <v>19378740.74</v>
          </cell>
        </row>
        <row r="20">
          <cell r="A20" t="str">
            <v>Bhola</v>
          </cell>
          <cell r="B20">
            <v>2085882.23</v>
          </cell>
          <cell r="C20">
            <v>2358060.61</v>
          </cell>
          <cell r="D20">
            <v>2500727.65</v>
          </cell>
        </row>
        <row r="20">
          <cell r="H20">
            <v>6944670.49</v>
          </cell>
        </row>
        <row r="21">
          <cell r="A21" t="str">
            <v>Bhulta</v>
          </cell>
          <cell r="B21">
            <v>316280.17</v>
          </cell>
          <cell r="C21">
            <v>1764839.69</v>
          </cell>
          <cell r="D21">
            <v>2865312.03</v>
          </cell>
        </row>
        <row r="21">
          <cell r="H21">
            <v>4946431.89</v>
          </cell>
        </row>
        <row r="22">
          <cell r="A22" t="str">
            <v>Bogura</v>
          </cell>
          <cell r="B22">
            <v>1428685.58</v>
          </cell>
          <cell r="C22">
            <v>10495481.84</v>
          </cell>
          <cell r="D22">
            <v>7961205.12</v>
          </cell>
        </row>
        <row r="22">
          <cell r="H22">
            <v>19885372.54</v>
          </cell>
        </row>
        <row r="23">
          <cell r="A23" t="str">
            <v>Brahmanbaria</v>
          </cell>
          <cell r="B23">
            <v>1227439.01</v>
          </cell>
          <cell r="C23">
            <v>6468986.34</v>
          </cell>
          <cell r="D23">
            <v>5416246.19</v>
          </cell>
        </row>
        <row r="23">
          <cell r="H23">
            <v>13112671.54</v>
          </cell>
        </row>
        <row r="24">
          <cell r="A24" t="str">
            <v>C. Nawabganj</v>
          </cell>
          <cell r="B24">
            <v>332835.03</v>
          </cell>
          <cell r="C24">
            <v>1453689.17</v>
          </cell>
          <cell r="D24">
            <v>3373516.19</v>
          </cell>
        </row>
        <row r="24">
          <cell r="H24">
            <v>5160040.39</v>
          </cell>
        </row>
        <row r="25">
          <cell r="A25" t="str">
            <v>Chandina</v>
          </cell>
          <cell r="B25">
            <v>4459122.59</v>
          </cell>
          <cell r="C25">
            <v>3517056.92</v>
          </cell>
          <cell r="D25">
            <v>919091.3</v>
          </cell>
        </row>
        <row r="25">
          <cell r="H25">
            <v>8895270.81</v>
          </cell>
        </row>
        <row r="26">
          <cell r="A26" t="str">
            <v>Chauddagram</v>
          </cell>
          <cell r="B26">
            <v>3886181.54</v>
          </cell>
          <cell r="C26">
            <v>3190843.52</v>
          </cell>
          <cell r="D26">
            <v>1000137.49</v>
          </cell>
        </row>
        <row r="26">
          <cell r="F26">
            <v>4119121.05</v>
          </cell>
        </row>
        <row r="26">
          <cell r="H26">
            <v>12196283.6</v>
          </cell>
        </row>
        <row r="27">
          <cell r="A27" t="str">
            <v>Chawk Bazar</v>
          </cell>
          <cell r="B27">
            <v>852086.38</v>
          </cell>
          <cell r="C27">
            <v>11130359.4</v>
          </cell>
          <cell r="D27">
            <v>10496418.59</v>
          </cell>
          <cell r="E27">
            <v>3783147.89</v>
          </cell>
          <cell r="F27">
            <v>9220481.68</v>
          </cell>
          <cell r="G27">
            <v>5179254.54</v>
          </cell>
          <cell r="H27">
            <v>40661748.48</v>
          </cell>
        </row>
        <row r="28">
          <cell r="A28" t="str">
            <v>Choumohoni</v>
          </cell>
          <cell r="B28">
            <v>2257924.89</v>
          </cell>
          <cell r="C28">
            <v>8720917.42</v>
          </cell>
          <cell r="D28">
            <v>8940022.28</v>
          </cell>
        </row>
        <row r="28">
          <cell r="H28">
            <v>19918864.59</v>
          </cell>
        </row>
        <row r="29">
          <cell r="A29" t="str">
            <v>Chuadanga</v>
          </cell>
          <cell r="B29">
            <v>941649.35</v>
          </cell>
          <cell r="C29">
            <v>2049102.51</v>
          </cell>
          <cell r="D29">
            <v>6921033.52</v>
          </cell>
        </row>
        <row r="29">
          <cell r="F29">
            <v>295662.57</v>
          </cell>
        </row>
        <row r="29">
          <cell r="H29">
            <v>10207447.95</v>
          </cell>
        </row>
        <row r="30">
          <cell r="A30" t="str">
            <v>Comilla East</v>
          </cell>
          <cell r="B30">
            <v>1933011.38</v>
          </cell>
          <cell r="C30">
            <v>7735311.71</v>
          </cell>
          <cell r="D30">
            <v>464361.13</v>
          </cell>
        </row>
        <row r="30">
          <cell r="H30">
            <v>10132684.22</v>
          </cell>
        </row>
        <row r="31">
          <cell r="A31" t="str">
            <v>Comilla West</v>
          </cell>
          <cell r="B31">
            <v>2246622.91</v>
          </cell>
          <cell r="C31">
            <v>6654780.7</v>
          </cell>
          <cell r="D31">
            <v>3853106.82</v>
          </cell>
          <cell r="E31">
            <v>183338.69</v>
          </cell>
        </row>
        <row r="31">
          <cell r="G31">
            <v>4807334.21</v>
          </cell>
          <cell r="H31">
            <v>17745183.33</v>
          </cell>
        </row>
        <row r="32">
          <cell r="A32" t="str">
            <v>Companygonj</v>
          </cell>
          <cell r="B32">
            <v>291377.32</v>
          </cell>
          <cell r="C32">
            <v>3491178.57</v>
          </cell>
        </row>
        <row r="32">
          <cell r="H32">
            <v>3782555.89</v>
          </cell>
        </row>
        <row r="33">
          <cell r="A33" t="str">
            <v>Cox's Bazar</v>
          </cell>
        </row>
        <row r="33">
          <cell r="C33">
            <v>1186933.18</v>
          </cell>
          <cell r="D33">
            <v>2980998.44</v>
          </cell>
        </row>
        <row r="33">
          <cell r="H33">
            <v>4167931.62</v>
          </cell>
        </row>
        <row r="34">
          <cell r="A34" t="str">
            <v>Daulatpur</v>
          </cell>
        </row>
        <row r="34">
          <cell r="C34">
            <v>5958938.65</v>
          </cell>
          <cell r="D34">
            <v>6141023.73</v>
          </cell>
          <cell r="E34">
            <v>2305170.67</v>
          </cell>
        </row>
        <row r="34">
          <cell r="H34">
            <v>14405133.05</v>
          </cell>
        </row>
        <row r="35">
          <cell r="A35" t="str">
            <v>DEPZ</v>
          </cell>
          <cell r="B35">
            <v>961754.99</v>
          </cell>
          <cell r="C35">
            <v>2066381.45</v>
          </cell>
          <cell r="D35">
            <v>9272663.9</v>
          </cell>
        </row>
        <row r="35">
          <cell r="F35">
            <v>1646316.81</v>
          </cell>
        </row>
        <row r="35">
          <cell r="H35">
            <v>13947117.15</v>
          </cell>
        </row>
        <row r="36">
          <cell r="A36" t="str">
            <v>Dhamrai</v>
          </cell>
          <cell r="B36">
            <v>17464.89</v>
          </cell>
          <cell r="C36">
            <v>10247784.85</v>
          </cell>
          <cell r="D36">
            <v>7158473.53</v>
          </cell>
        </row>
        <row r="36">
          <cell r="H36">
            <v>17423723.27</v>
          </cell>
        </row>
        <row r="37">
          <cell r="A37" t="str">
            <v>Dinajpur</v>
          </cell>
          <cell r="B37">
            <v>542487.55</v>
          </cell>
          <cell r="C37">
            <v>2220682.32</v>
          </cell>
          <cell r="D37">
            <v>3591360.84</v>
          </cell>
          <cell r="E37">
            <v>2877802.72</v>
          </cell>
        </row>
        <row r="37">
          <cell r="H37">
            <v>9232333.43</v>
          </cell>
        </row>
        <row r="38">
          <cell r="A38" t="str">
            <v>Elephant Road</v>
          </cell>
          <cell r="B38">
            <v>1168683.7</v>
          </cell>
          <cell r="C38">
            <v>6488535.3</v>
          </cell>
          <cell r="D38">
            <v>8926233.08</v>
          </cell>
          <cell r="E38">
            <v>4425284.25</v>
          </cell>
        </row>
        <row r="38">
          <cell r="H38">
            <v>21008736.33</v>
          </cell>
        </row>
        <row r="39">
          <cell r="A39" t="str">
            <v>Faridpur</v>
          </cell>
          <cell r="B39">
            <v>828861.38</v>
          </cell>
          <cell r="C39">
            <v>9213041.15</v>
          </cell>
          <cell r="D39">
            <v>5463227.89</v>
          </cell>
        </row>
        <row r="39">
          <cell r="H39">
            <v>15505130.42</v>
          </cell>
        </row>
        <row r="40">
          <cell r="A40" t="str">
            <v>Fatullah</v>
          </cell>
          <cell r="B40">
            <v>201019.61</v>
          </cell>
          <cell r="C40">
            <v>4364631.25</v>
          </cell>
        </row>
        <row r="40">
          <cell r="H40">
            <v>4565650.86</v>
          </cell>
        </row>
        <row r="41">
          <cell r="A41" t="str">
            <v>Feni</v>
          </cell>
          <cell r="B41">
            <v>267172.72</v>
          </cell>
          <cell r="C41">
            <v>3848068.81</v>
          </cell>
          <cell r="D41">
            <v>1979661.82</v>
          </cell>
        </row>
        <row r="41">
          <cell r="H41">
            <v>6094903.35</v>
          </cell>
        </row>
        <row r="42">
          <cell r="A42" t="str">
            <v>Fulbari</v>
          </cell>
          <cell r="B42">
            <v>330695.31</v>
          </cell>
          <cell r="C42">
            <v>515809.15</v>
          </cell>
        </row>
        <row r="42">
          <cell r="E42">
            <v>2418156.09</v>
          </cell>
        </row>
        <row r="42">
          <cell r="H42">
            <v>3264660.55</v>
          </cell>
        </row>
        <row r="43">
          <cell r="A43" t="str">
            <v>Gaibandha</v>
          </cell>
          <cell r="B43">
            <v>721333.32</v>
          </cell>
          <cell r="C43">
            <v>2304775.49</v>
          </cell>
        </row>
        <row r="43">
          <cell r="H43">
            <v>3026108.81</v>
          </cell>
        </row>
        <row r="44">
          <cell r="A44" t="str">
            <v>Gazipur</v>
          </cell>
          <cell r="B44">
            <v>261516.02</v>
          </cell>
          <cell r="C44">
            <v>12472584.29</v>
          </cell>
          <cell r="D44">
            <v>7977748.28</v>
          </cell>
        </row>
        <row r="44">
          <cell r="H44">
            <v>20711848.59</v>
          </cell>
        </row>
        <row r="45">
          <cell r="A45" t="str">
            <v>Ghatail</v>
          </cell>
        </row>
        <row r="45">
          <cell r="C45">
            <v>1386290.36</v>
          </cell>
        </row>
        <row r="45">
          <cell r="H45">
            <v>1386290.36</v>
          </cell>
        </row>
        <row r="46">
          <cell r="A46" t="str">
            <v>Gopalgonj</v>
          </cell>
          <cell r="B46">
            <v>3015474.72</v>
          </cell>
          <cell r="C46">
            <v>6395363.65</v>
          </cell>
          <cell r="D46">
            <v>8471498.11</v>
          </cell>
        </row>
        <row r="46">
          <cell r="G46">
            <v>34913995.83</v>
          </cell>
          <cell r="H46">
            <v>52796332.31</v>
          </cell>
        </row>
        <row r="47">
          <cell r="A47" t="str">
            <v>Gulistan</v>
          </cell>
        </row>
        <row r="47">
          <cell r="C47">
            <v>722536.1</v>
          </cell>
          <cell r="D47">
            <v>4670698.31</v>
          </cell>
          <cell r="E47">
            <v>2452452.21</v>
          </cell>
        </row>
        <row r="47">
          <cell r="G47">
            <v>6857615.46</v>
          </cell>
          <cell r="H47">
            <v>14703302.08</v>
          </cell>
        </row>
        <row r="48">
          <cell r="A48" t="str">
            <v>Halishahar</v>
          </cell>
          <cell r="B48">
            <v>388917.14</v>
          </cell>
          <cell r="C48">
            <v>780363.95</v>
          </cell>
          <cell r="D48">
            <v>3355319.68</v>
          </cell>
        </row>
        <row r="48">
          <cell r="H48">
            <v>4524600.77</v>
          </cell>
        </row>
        <row r="49">
          <cell r="A49" t="str">
            <v>Hasnabad</v>
          </cell>
          <cell r="B49">
            <v>1586649.13</v>
          </cell>
          <cell r="C49">
            <v>8994070.72</v>
          </cell>
          <cell r="D49">
            <v>5903435.69</v>
          </cell>
        </row>
        <row r="49">
          <cell r="F49">
            <v>2255552.57</v>
          </cell>
        </row>
        <row r="49">
          <cell r="H49">
            <v>18739708.11</v>
          </cell>
        </row>
        <row r="50">
          <cell r="A50" t="str">
            <v>Hathazari</v>
          </cell>
          <cell r="B50">
            <v>803716.68</v>
          </cell>
          <cell r="C50">
            <v>7808511.66</v>
          </cell>
          <cell r="D50">
            <v>12313530.84</v>
          </cell>
          <cell r="E50">
            <v>1468685.95</v>
          </cell>
        </row>
        <row r="50">
          <cell r="H50">
            <v>22394445.13</v>
          </cell>
        </row>
        <row r="51">
          <cell r="A51" t="str">
            <v>Hazigonj</v>
          </cell>
          <cell r="B51">
            <v>1129944.54</v>
          </cell>
          <cell r="C51">
            <v>6276822.08</v>
          </cell>
          <cell r="D51">
            <v>6101399.14</v>
          </cell>
          <cell r="E51">
            <v>3845266.5</v>
          </cell>
        </row>
        <row r="51">
          <cell r="H51">
            <v>17353432.26</v>
          </cell>
        </row>
        <row r="52">
          <cell r="A52" t="str">
            <v>Hobigonj</v>
          </cell>
          <cell r="B52">
            <v>1307004.53</v>
          </cell>
          <cell r="C52">
            <v>3127257.78</v>
          </cell>
        </row>
        <row r="52">
          <cell r="F52">
            <v>987518.13</v>
          </cell>
        </row>
        <row r="52">
          <cell r="H52">
            <v>5421780.44</v>
          </cell>
        </row>
        <row r="53">
          <cell r="A53" t="str">
            <v>Imamgonj</v>
          </cell>
          <cell r="B53">
            <v>836851.59</v>
          </cell>
          <cell r="C53">
            <v>1701041.72</v>
          </cell>
          <cell r="D53">
            <v>5559524.62</v>
          </cell>
        </row>
        <row r="53">
          <cell r="H53">
            <v>8097417.93</v>
          </cell>
        </row>
        <row r="54">
          <cell r="A54" t="str">
            <v>Ishwardi</v>
          </cell>
          <cell r="B54">
            <v>832158.65</v>
          </cell>
          <cell r="C54">
            <v>5703141.83</v>
          </cell>
          <cell r="D54">
            <v>4492915.09</v>
          </cell>
        </row>
        <row r="54">
          <cell r="G54">
            <v>12789704.92</v>
          </cell>
          <cell r="H54">
            <v>23817920.49</v>
          </cell>
        </row>
        <row r="55">
          <cell r="A55" t="str">
            <v>Islambagh</v>
          </cell>
          <cell r="B55">
            <v>588759.32</v>
          </cell>
          <cell r="C55">
            <v>3475308.59</v>
          </cell>
          <cell r="D55">
            <v>1494101.26</v>
          </cell>
        </row>
        <row r="55">
          <cell r="H55">
            <v>5558169.17</v>
          </cell>
        </row>
        <row r="56">
          <cell r="A56" t="str">
            <v>Islampur Road</v>
          </cell>
        </row>
        <row r="56">
          <cell r="C56">
            <v>3487515.3</v>
          </cell>
          <cell r="D56">
            <v>12882651.79</v>
          </cell>
          <cell r="E56">
            <v>1983999.97</v>
          </cell>
        </row>
        <row r="56">
          <cell r="H56">
            <v>18354167.06</v>
          </cell>
        </row>
        <row r="57">
          <cell r="A57" t="str">
            <v>Jatrabari</v>
          </cell>
          <cell r="B57">
            <v>1518608.82</v>
          </cell>
          <cell r="C57">
            <v>7527937.58</v>
          </cell>
          <cell r="D57">
            <v>6466582.59</v>
          </cell>
          <cell r="E57">
            <v>7172339.26</v>
          </cell>
          <cell r="F57">
            <v>681443.27</v>
          </cell>
        </row>
        <row r="57">
          <cell r="H57">
            <v>23366911.52</v>
          </cell>
        </row>
        <row r="58">
          <cell r="A58" t="str">
            <v>Jessore</v>
          </cell>
          <cell r="B58">
            <v>865224.25</v>
          </cell>
          <cell r="C58">
            <v>8358979.76</v>
          </cell>
          <cell r="D58">
            <v>16486644</v>
          </cell>
          <cell r="E58">
            <v>4844892.67</v>
          </cell>
        </row>
        <row r="58">
          <cell r="H58">
            <v>30555740.68</v>
          </cell>
        </row>
        <row r="59">
          <cell r="A59" t="str">
            <v>Jhenaidah</v>
          </cell>
          <cell r="B59">
            <v>1172045.62</v>
          </cell>
          <cell r="C59">
            <v>3879746.52</v>
          </cell>
        </row>
        <row r="59">
          <cell r="H59">
            <v>5051792.14</v>
          </cell>
        </row>
        <row r="60">
          <cell r="A60" t="str">
            <v>Jikorgacha</v>
          </cell>
          <cell r="B60">
            <v>1724646.13</v>
          </cell>
          <cell r="C60">
            <v>3785495.43</v>
          </cell>
          <cell r="D60">
            <v>6688456.72</v>
          </cell>
        </row>
        <row r="60">
          <cell r="H60">
            <v>12198598.28</v>
          </cell>
        </row>
        <row r="61">
          <cell r="A61" t="str">
            <v>Joydebpur</v>
          </cell>
          <cell r="B61">
            <v>869035.29</v>
          </cell>
          <cell r="C61">
            <v>5487002.36</v>
          </cell>
          <cell r="D61">
            <v>7318568.44</v>
          </cell>
        </row>
        <row r="61">
          <cell r="H61">
            <v>13674606.09</v>
          </cell>
        </row>
        <row r="62">
          <cell r="A62" t="str">
            <v>Joypurhat</v>
          </cell>
          <cell r="B62">
            <v>97109.37</v>
          </cell>
          <cell r="C62">
            <v>3993360.38</v>
          </cell>
          <cell r="D62">
            <v>6242873.26</v>
          </cell>
        </row>
        <row r="62">
          <cell r="G62">
            <v>16237808.51</v>
          </cell>
          <cell r="H62">
            <v>26571151.52</v>
          </cell>
        </row>
        <row r="63">
          <cell r="A63" t="str">
            <v>Kadamtali</v>
          </cell>
          <cell r="B63">
            <v>970404.38</v>
          </cell>
          <cell r="C63">
            <v>15471904.54</v>
          </cell>
          <cell r="D63">
            <v>10521235.89</v>
          </cell>
        </row>
        <row r="63">
          <cell r="H63">
            <v>26963544.81</v>
          </cell>
        </row>
        <row r="64">
          <cell r="A64" t="str">
            <v>Kalurghat</v>
          </cell>
          <cell r="B64">
            <v>567247.36</v>
          </cell>
          <cell r="C64">
            <v>6071092.5</v>
          </cell>
          <cell r="D64">
            <v>7405085.4</v>
          </cell>
          <cell r="E64">
            <v>4146611.23</v>
          </cell>
        </row>
        <row r="64">
          <cell r="H64">
            <v>18190036.49</v>
          </cell>
        </row>
        <row r="65">
          <cell r="A65" t="str">
            <v>Kamrangirchar</v>
          </cell>
          <cell r="B65">
            <v>1195826.4</v>
          </cell>
          <cell r="C65">
            <v>4633720.28</v>
          </cell>
          <cell r="D65">
            <v>1245273.54</v>
          </cell>
        </row>
        <row r="65">
          <cell r="H65">
            <v>7074820.22</v>
          </cell>
        </row>
        <row r="66">
          <cell r="A66" t="str">
            <v>Kazipara</v>
          </cell>
          <cell r="B66">
            <v>582812.72</v>
          </cell>
          <cell r="C66">
            <v>3254138.39</v>
          </cell>
          <cell r="D66">
            <v>3189837.68</v>
          </cell>
          <cell r="E66">
            <v>3530532.47</v>
          </cell>
        </row>
        <row r="66">
          <cell r="H66">
            <v>10557321.26</v>
          </cell>
        </row>
        <row r="67">
          <cell r="A67" t="str">
            <v>Keranigonj</v>
          </cell>
          <cell r="B67">
            <v>526220.73</v>
          </cell>
          <cell r="C67">
            <v>4436771.81</v>
          </cell>
          <cell r="D67">
            <v>8609234.94</v>
          </cell>
        </row>
        <row r="67">
          <cell r="H67">
            <v>13572227.48</v>
          </cell>
        </row>
        <row r="68">
          <cell r="A68" t="str">
            <v>Keshobpur</v>
          </cell>
          <cell r="B68">
            <v>1642718.05</v>
          </cell>
          <cell r="C68">
            <v>4852122.13</v>
          </cell>
          <cell r="D68">
            <v>6845423.39</v>
          </cell>
        </row>
        <row r="68">
          <cell r="H68">
            <v>13340263.57</v>
          </cell>
        </row>
        <row r="69">
          <cell r="A69" t="str">
            <v>Khatungonj</v>
          </cell>
          <cell r="B69">
            <v>187158.41</v>
          </cell>
          <cell r="C69">
            <v>5497022.35</v>
          </cell>
          <cell r="D69">
            <v>4844835.94</v>
          </cell>
          <cell r="E69">
            <v>3829615.43</v>
          </cell>
        </row>
        <row r="69">
          <cell r="H69">
            <v>14358632.13</v>
          </cell>
        </row>
        <row r="70">
          <cell r="A70" t="str">
            <v>Khulna</v>
          </cell>
          <cell r="B70">
            <v>1926634.88</v>
          </cell>
          <cell r="C70">
            <v>4251982.07</v>
          </cell>
          <cell r="D70">
            <v>9830970.48</v>
          </cell>
          <cell r="E70">
            <v>4829621.16</v>
          </cell>
          <cell r="F70">
            <v>3196101.45</v>
          </cell>
          <cell r="G70">
            <v>9263402.69</v>
          </cell>
          <cell r="H70">
            <v>33298712.73</v>
          </cell>
        </row>
        <row r="71">
          <cell r="A71" t="str">
            <v>Konabari</v>
          </cell>
          <cell r="B71">
            <v>1968958.99</v>
          </cell>
          <cell r="C71">
            <v>4116850.39</v>
          </cell>
        </row>
        <row r="71">
          <cell r="F71">
            <v>4889690.9</v>
          </cell>
        </row>
        <row r="71">
          <cell r="H71">
            <v>10975500.28</v>
          </cell>
        </row>
        <row r="72">
          <cell r="A72" t="str">
            <v>Kosba</v>
          </cell>
          <cell r="B72">
            <v>1096644.27</v>
          </cell>
          <cell r="C72">
            <v>6558680.69</v>
          </cell>
        </row>
        <row r="72">
          <cell r="H72">
            <v>7655324.96</v>
          </cell>
        </row>
        <row r="73">
          <cell r="A73" t="str">
            <v>Kotiadi</v>
          </cell>
          <cell r="B73">
            <v>1436412.41</v>
          </cell>
          <cell r="C73">
            <v>6683162.45</v>
          </cell>
        </row>
        <row r="73">
          <cell r="H73">
            <v>8119574.86</v>
          </cell>
        </row>
        <row r="74">
          <cell r="A74" t="str">
            <v>Kurigram</v>
          </cell>
          <cell r="B74">
            <v>4272626.38</v>
          </cell>
          <cell r="C74">
            <v>3322952.42</v>
          </cell>
        </row>
        <row r="74">
          <cell r="F74">
            <v>253168.1</v>
          </cell>
        </row>
        <row r="74">
          <cell r="H74">
            <v>7848746.9</v>
          </cell>
        </row>
        <row r="75">
          <cell r="A75" t="str">
            <v>Kushtia</v>
          </cell>
          <cell r="B75">
            <v>3522649.7</v>
          </cell>
          <cell r="C75">
            <v>6778227.9</v>
          </cell>
          <cell r="D75">
            <v>11432034.66</v>
          </cell>
        </row>
        <row r="75">
          <cell r="H75">
            <v>21732912.26</v>
          </cell>
        </row>
        <row r="76">
          <cell r="A76" t="str">
            <v>Laksham</v>
          </cell>
          <cell r="B76">
            <v>1755562.71</v>
          </cell>
          <cell r="C76">
            <v>6124469.42</v>
          </cell>
          <cell r="D76">
            <v>3267346.61</v>
          </cell>
        </row>
        <row r="76">
          <cell r="H76">
            <v>11147378.74</v>
          </cell>
        </row>
        <row r="77">
          <cell r="A77" t="str">
            <v>Laxmipur</v>
          </cell>
          <cell r="B77">
            <v>1163275.81</v>
          </cell>
          <cell r="C77">
            <v>5252854.09</v>
          </cell>
          <cell r="D77">
            <v>1701036.76</v>
          </cell>
        </row>
        <row r="77">
          <cell r="H77">
            <v>8117166.66</v>
          </cell>
        </row>
        <row r="78">
          <cell r="A78" t="str">
            <v>Lohagora, CTG</v>
          </cell>
          <cell r="B78">
            <v>849795.11</v>
          </cell>
          <cell r="C78">
            <v>4111521.03</v>
          </cell>
          <cell r="D78">
            <v>1482565.42</v>
          </cell>
        </row>
        <row r="78">
          <cell r="H78">
            <v>6443881.56</v>
          </cell>
        </row>
        <row r="79">
          <cell r="A79" t="str">
            <v>Madhabpur</v>
          </cell>
          <cell r="B79">
            <v>2166723.71</v>
          </cell>
          <cell r="C79">
            <v>3403236.19</v>
          </cell>
          <cell r="D79">
            <v>1594755.85</v>
          </cell>
        </row>
        <row r="79">
          <cell r="H79">
            <v>7164715.75</v>
          </cell>
        </row>
        <row r="80">
          <cell r="A80" t="str">
            <v>Magura</v>
          </cell>
          <cell r="B80">
            <v>1716023.59</v>
          </cell>
          <cell r="C80">
            <v>2711954.91</v>
          </cell>
          <cell r="D80">
            <v>3317866.21</v>
          </cell>
        </row>
        <row r="80">
          <cell r="H80">
            <v>7745844.71</v>
          </cell>
        </row>
        <row r="81">
          <cell r="A81" t="str">
            <v>Maijdee</v>
          </cell>
          <cell r="B81">
            <v>1814554.64</v>
          </cell>
          <cell r="C81">
            <v>7297400.56</v>
          </cell>
          <cell r="D81">
            <v>3400291.28</v>
          </cell>
        </row>
        <row r="81">
          <cell r="H81">
            <v>12512246.48</v>
          </cell>
        </row>
        <row r="82">
          <cell r="A82" t="str">
            <v>Manikgonj</v>
          </cell>
          <cell r="B82">
            <v>235539.52</v>
          </cell>
          <cell r="C82">
            <v>1626429.97</v>
          </cell>
        </row>
        <row r="82">
          <cell r="H82">
            <v>1861969.49</v>
          </cell>
        </row>
        <row r="83">
          <cell r="A83" t="str">
            <v>Mirpur</v>
          </cell>
          <cell r="B83">
            <v>644239.19</v>
          </cell>
          <cell r="C83">
            <v>15873552.72</v>
          </cell>
          <cell r="D83">
            <v>18662748.68</v>
          </cell>
          <cell r="E83">
            <v>2836530.09</v>
          </cell>
        </row>
        <row r="83">
          <cell r="H83">
            <v>38017070.68</v>
          </cell>
        </row>
        <row r="84">
          <cell r="A84" t="str">
            <v>Moghbazar</v>
          </cell>
          <cell r="B84">
            <v>215494.88</v>
          </cell>
          <cell r="C84">
            <v>2254136.19</v>
          </cell>
          <cell r="D84">
            <v>1019880.18</v>
          </cell>
        </row>
        <row r="84">
          <cell r="H84">
            <v>3489511.25</v>
          </cell>
        </row>
        <row r="85">
          <cell r="A85" t="str">
            <v>Mohammadpur</v>
          </cell>
          <cell r="B85">
            <v>607838.87</v>
          </cell>
          <cell r="C85">
            <v>5614802.71</v>
          </cell>
          <cell r="D85">
            <v>9561837.26</v>
          </cell>
        </row>
        <row r="85">
          <cell r="H85">
            <v>15784478.84</v>
          </cell>
        </row>
        <row r="86">
          <cell r="A86" t="str">
            <v>Mymensingh</v>
          </cell>
          <cell r="B86">
            <v>1053598.61</v>
          </cell>
          <cell r="C86">
            <v>11916900.55</v>
          </cell>
          <cell r="D86">
            <v>5313246.39</v>
          </cell>
        </row>
        <row r="86">
          <cell r="F86">
            <v>5466626.11</v>
          </cell>
        </row>
        <row r="86">
          <cell r="H86">
            <v>23750371.66</v>
          </cell>
        </row>
        <row r="87">
          <cell r="A87" t="str">
            <v>Nangolkot</v>
          </cell>
          <cell r="B87">
            <v>564103.88</v>
          </cell>
          <cell r="C87">
            <v>1315710.88</v>
          </cell>
        </row>
        <row r="87">
          <cell r="H87">
            <v>1879814.76</v>
          </cell>
        </row>
        <row r="88">
          <cell r="A88" t="str">
            <v>Naogaon</v>
          </cell>
          <cell r="B88">
            <v>596116.56</v>
          </cell>
          <cell r="C88">
            <v>3708378.2</v>
          </cell>
        </row>
        <row r="88">
          <cell r="H88">
            <v>4304494.76</v>
          </cell>
        </row>
        <row r="89">
          <cell r="A89" t="str">
            <v>Narail</v>
          </cell>
          <cell r="B89">
            <v>1442842.77</v>
          </cell>
          <cell r="C89">
            <v>1916340.65</v>
          </cell>
          <cell r="D89">
            <v>746489.04</v>
          </cell>
        </row>
        <row r="89">
          <cell r="H89">
            <v>4105672.46</v>
          </cell>
        </row>
        <row r="90">
          <cell r="A90" t="str">
            <v>Narayangonj</v>
          </cell>
        </row>
        <row r="90">
          <cell r="C90">
            <v>2636959.48</v>
          </cell>
          <cell r="D90">
            <v>3106248.78</v>
          </cell>
        </row>
        <row r="90">
          <cell r="H90">
            <v>5743208.26</v>
          </cell>
        </row>
        <row r="91">
          <cell r="A91" t="str">
            <v>Narsingdi</v>
          </cell>
          <cell r="B91">
            <v>1454852.74</v>
          </cell>
          <cell r="C91">
            <v>2398699.76</v>
          </cell>
          <cell r="D91">
            <v>4438827.83</v>
          </cell>
        </row>
        <row r="91">
          <cell r="H91">
            <v>8292380.33</v>
          </cell>
        </row>
        <row r="92">
          <cell r="A92" t="str">
            <v>Nawabgonj</v>
          </cell>
          <cell r="B92">
            <v>116000.81</v>
          </cell>
          <cell r="C92">
            <v>4900536.73</v>
          </cell>
          <cell r="D92">
            <v>676895.18</v>
          </cell>
        </row>
        <row r="92">
          <cell r="H92">
            <v>5693432.72</v>
          </cell>
        </row>
        <row r="93">
          <cell r="A93" t="str">
            <v>Nawabpur</v>
          </cell>
          <cell r="B93">
            <v>1195862.99</v>
          </cell>
          <cell r="C93">
            <v>362300.23</v>
          </cell>
          <cell r="D93">
            <v>4702981.01</v>
          </cell>
        </row>
        <row r="93">
          <cell r="H93">
            <v>6261144.23</v>
          </cell>
        </row>
        <row r="94">
          <cell r="A94" t="str">
            <v>Nondon Kanon</v>
          </cell>
          <cell r="B94">
            <v>130940.97</v>
          </cell>
          <cell r="C94">
            <v>4968237.17</v>
          </cell>
          <cell r="D94">
            <v>4040691.19</v>
          </cell>
        </row>
        <row r="94">
          <cell r="H94">
            <v>9139869.33</v>
          </cell>
        </row>
        <row r="95">
          <cell r="A95" t="str">
            <v>Pabna</v>
          </cell>
          <cell r="B95">
            <v>619168.16</v>
          </cell>
          <cell r="C95">
            <v>6789983.34</v>
          </cell>
          <cell r="D95">
            <v>1371305.41</v>
          </cell>
        </row>
        <row r="95">
          <cell r="G95">
            <v>2418628.47</v>
          </cell>
          <cell r="H95">
            <v>11199085.38</v>
          </cell>
        </row>
        <row r="96">
          <cell r="A96" t="str">
            <v>Pahartali</v>
          </cell>
        </row>
        <row r="96">
          <cell r="C96">
            <v>1241221.85</v>
          </cell>
          <cell r="D96">
            <v>9040324.3</v>
          </cell>
          <cell r="E96">
            <v>15257581.1</v>
          </cell>
        </row>
        <row r="96">
          <cell r="H96">
            <v>25539127.25</v>
          </cell>
        </row>
        <row r="97">
          <cell r="A97" t="str">
            <v>Panchaghar</v>
          </cell>
          <cell r="B97">
            <v>277532.94</v>
          </cell>
          <cell r="C97">
            <v>3262152.53</v>
          </cell>
          <cell r="D97">
            <v>885008.01</v>
          </cell>
          <cell r="E97">
            <v>1540242.09</v>
          </cell>
          <cell r="F97">
            <v>10766.06</v>
          </cell>
        </row>
        <row r="97">
          <cell r="H97">
            <v>5975701.63</v>
          </cell>
        </row>
        <row r="98">
          <cell r="A98" t="str">
            <v>Patuakhali</v>
          </cell>
          <cell r="B98">
            <v>3087762.74</v>
          </cell>
          <cell r="C98">
            <v>9940908.99</v>
          </cell>
          <cell r="D98">
            <v>5547250.79</v>
          </cell>
        </row>
        <row r="98">
          <cell r="F98">
            <v>8003924.68</v>
          </cell>
        </row>
        <row r="98">
          <cell r="H98">
            <v>26579847.2</v>
          </cell>
        </row>
        <row r="99">
          <cell r="A99" t="str">
            <v>Potiya</v>
          </cell>
          <cell r="B99">
            <v>1128892.82</v>
          </cell>
          <cell r="C99">
            <v>2852545.12</v>
          </cell>
          <cell r="D99">
            <v>10444865.58</v>
          </cell>
        </row>
        <row r="99">
          <cell r="H99">
            <v>14426303.52</v>
          </cell>
        </row>
        <row r="100">
          <cell r="A100" t="str">
            <v>Rajbari</v>
          </cell>
          <cell r="B100">
            <v>1725827.46</v>
          </cell>
          <cell r="C100">
            <v>5105396.92</v>
          </cell>
          <cell r="D100">
            <v>2734562.05</v>
          </cell>
          <cell r="E100">
            <v>384805.36</v>
          </cell>
          <cell r="F100">
            <v>298313.23</v>
          </cell>
        </row>
        <row r="100">
          <cell r="H100">
            <v>10248905.02</v>
          </cell>
        </row>
        <row r="101">
          <cell r="A101" t="str">
            <v>Rajshahi</v>
          </cell>
          <cell r="B101">
            <v>2031663.1</v>
          </cell>
          <cell r="C101">
            <v>7465646.05</v>
          </cell>
          <cell r="D101">
            <v>2251249.11</v>
          </cell>
        </row>
        <row r="101">
          <cell r="H101">
            <v>11748558.26</v>
          </cell>
        </row>
        <row r="102">
          <cell r="A102" t="str">
            <v>Rangpur</v>
          </cell>
          <cell r="B102">
            <v>1504137.83</v>
          </cell>
          <cell r="C102">
            <v>2385158.12</v>
          </cell>
          <cell r="D102">
            <v>3047913.05</v>
          </cell>
        </row>
        <row r="102">
          <cell r="H102">
            <v>6937209</v>
          </cell>
        </row>
        <row r="103">
          <cell r="A103" t="str">
            <v>Savar</v>
          </cell>
          <cell r="B103">
            <v>1376121.92</v>
          </cell>
          <cell r="C103">
            <v>6405299.95</v>
          </cell>
          <cell r="D103">
            <v>5221880.97</v>
          </cell>
        </row>
        <row r="103">
          <cell r="G103">
            <v>10020075.61</v>
          </cell>
          <cell r="H103">
            <v>23023378.45</v>
          </cell>
        </row>
        <row r="104">
          <cell r="A104" t="str">
            <v>Savar-2</v>
          </cell>
          <cell r="B104">
            <v>179029.05</v>
          </cell>
          <cell r="C104">
            <v>3119432.75</v>
          </cell>
          <cell r="D104">
            <v>1832513.5</v>
          </cell>
          <cell r="E104">
            <v>5873472.22</v>
          </cell>
        </row>
        <row r="104">
          <cell r="H104">
            <v>11004447.52</v>
          </cell>
        </row>
        <row r="105">
          <cell r="A105" t="str">
            <v>Shaheshtagonj</v>
          </cell>
          <cell r="B105">
            <v>1883571.3</v>
          </cell>
          <cell r="C105">
            <v>584729.88</v>
          </cell>
          <cell r="D105">
            <v>4791883.48</v>
          </cell>
        </row>
        <row r="105">
          <cell r="H105">
            <v>7260184.66</v>
          </cell>
        </row>
        <row r="106">
          <cell r="A106" t="str">
            <v>Shambazar</v>
          </cell>
          <cell r="B106">
            <v>1359317.76</v>
          </cell>
          <cell r="C106">
            <v>7683295.22</v>
          </cell>
          <cell r="D106">
            <v>3617242.7</v>
          </cell>
        </row>
        <row r="106">
          <cell r="H106">
            <v>12659855.68</v>
          </cell>
        </row>
        <row r="107">
          <cell r="A107" t="str">
            <v>Shariatpur</v>
          </cell>
          <cell r="B107">
            <v>763029.81</v>
          </cell>
          <cell r="C107">
            <v>4188617.09</v>
          </cell>
          <cell r="D107">
            <v>220799.95</v>
          </cell>
        </row>
        <row r="107">
          <cell r="H107">
            <v>5172446.85</v>
          </cell>
        </row>
        <row r="108">
          <cell r="A108" t="str">
            <v>Shiddirgonj</v>
          </cell>
          <cell r="B108">
            <v>30199.34</v>
          </cell>
          <cell r="C108">
            <v>2426438.61</v>
          </cell>
        </row>
        <row r="108">
          <cell r="H108">
            <v>2456637.95</v>
          </cell>
        </row>
        <row r="109">
          <cell r="A109" t="str">
            <v>Sirajgonj</v>
          </cell>
          <cell r="B109">
            <v>768348.29</v>
          </cell>
          <cell r="C109">
            <v>1388400.66</v>
          </cell>
          <cell r="D109">
            <v>2611418.72</v>
          </cell>
        </row>
        <row r="109">
          <cell r="H109">
            <v>4768167.67</v>
          </cell>
        </row>
        <row r="110">
          <cell r="A110" t="str">
            <v>Sonir Akhra</v>
          </cell>
          <cell r="B110">
            <v>75560.22</v>
          </cell>
          <cell r="C110">
            <v>1990530.22</v>
          </cell>
        </row>
        <row r="110">
          <cell r="G110">
            <v>9203562.13</v>
          </cell>
          <cell r="H110">
            <v>11269652.57</v>
          </cell>
        </row>
        <row r="111">
          <cell r="A111" t="str">
            <v>South Surma</v>
          </cell>
          <cell r="B111">
            <v>472547.3</v>
          </cell>
          <cell r="C111">
            <v>4388695.54</v>
          </cell>
          <cell r="D111">
            <v>1503725.98</v>
          </cell>
        </row>
        <row r="111">
          <cell r="H111">
            <v>6364968.82</v>
          </cell>
        </row>
        <row r="112">
          <cell r="A112" t="str">
            <v>Sreenagar</v>
          </cell>
          <cell r="B112">
            <v>538860.01</v>
          </cell>
          <cell r="C112">
            <v>4723039.09</v>
          </cell>
        </row>
        <row r="112">
          <cell r="H112">
            <v>5261899.1</v>
          </cell>
        </row>
        <row r="113">
          <cell r="A113" t="str">
            <v>Sreepur</v>
          </cell>
          <cell r="B113">
            <v>222118.55</v>
          </cell>
          <cell r="C113">
            <v>3074449.86</v>
          </cell>
          <cell r="D113">
            <v>1021356.36</v>
          </cell>
          <cell r="E113">
            <v>3486893.73</v>
          </cell>
        </row>
        <row r="113">
          <cell r="H113">
            <v>7804818.5</v>
          </cell>
        </row>
        <row r="114">
          <cell r="A114" t="str">
            <v>Swarupkathi</v>
          </cell>
          <cell r="B114">
            <v>3967917.93</v>
          </cell>
          <cell r="C114">
            <v>8165745.2</v>
          </cell>
          <cell r="D114">
            <v>9910632.77</v>
          </cell>
        </row>
        <row r="114">
          <cell r="H114">
            <v>22044295.9</v>
          </cell>
        </row>
        <row r="115">
          <cell r="A115" t="str">
            <v>Syedpur</v>
          </cell>
          <cell r="B115">
            <v>891674.13</v>
          </cell>
          <cell r="C115">
            <v>377906.63</v>
          </cell>
          <cell r="D115">
            <v>1100926.59</v>
          </cell>
        </row>
        <row r="115">
          <cell r="F115">
            <v>1714479.86</v>
          </cell>
        </row>
        <row r="115">
          <cell r="H115">
            <v>4084987.21</v>
          </cell>
        </row>
        <row r="116">
          <cell r="A116" t="str">
            <v>Tangail</v>
          </cell>
          <cell r="B116">
            <v>2006743.72</v>
          </cell>
          <cell r="C116">
            <v>5257265.02</v>
          </cell>
          <cell r="D116">
            <v>3009828.92</v>
          </cell>
        </row>
        <row r="116">
          <cell r="H116">
            <v>10273837.66</v>
          </cell>
        </row>
        <row r="117">
          <cell r="A117" t="str">
            <v>Thakurgaon</v>
          </cell>
          <cell r="B117">
            <v>1722779.52</v>
          </cell>
          <cell r="C117">
            <v>4731340.93</v>
          </cell>
          <cell r="D117">
            <v>38455.34</v>
          </cell>
        </row>
        <row r="117">
          <cell r="F117">
            <v>577796.48</v>
          </cell>
        </row>
        <row r="117">
          <cell r="H117">
            <v>7070372.27</v>
          </cell>
        </row>
        <row r="118">
          <cell r="A118" t="str">
            <v>Tongi</v>
          </cell>
          <cell r="B118">
            <v>1296254.15</v>
          </cell>
          <cell r="C118">
            <v>13968708.17</v>
          </cell>
          <cell r="D118">
            <v>13295290.87</v>
          </cell>
        </row>
        <row r="118">
          <cell r="H118">
            <v>28560253.19</v>
          </cell>
        </row>
        <row r="119">
          <cell r="A119" t="str">
            <v>Zinzira</v>
          </cell>
          <cell r="B119">
            <v>1273791.35</v>
          </cell>
          <cell r="C119">
            <v>9327354.51</v>
          </cell>
          <cell r="D119">
            <v>1553948.88</v>
          </cell>
        </row>
        <row r="119">
          <cell r="H119">
            <v>12155094.74</v>
          </cell>
        </row>
        <row r="120">
          <cell r="A120" t="str">
            <v>Grand Total</v>
          </cell>
          <cell r="B120">
            <v>138255569.81</v>
          </cell>
          <cell r="C120">
            <v>588727480.22</v>
          </cell>
          <cell r="D120">
            <v>500151702.29</v>
          </cell>
          <cell r="E120">
            <v>94232547.73</v>
          </cell>
          <cell r="F120">
            <v>63910738.52</v>
          </cell>
          <cell r="G120">
            <v>119750909.75</v>
          </cell>
          <cell r="H120">
            <v>1505028948.32</v>
          </cell>
        </row>
      </sheetData>
      <sheetData sheetId="19">
        <row r="5">
          <cell r="A5" t="str">
            <v>Agailjhara</v>
          </cell>
          <cell r="B5">
            <v>37477546.51</v>
          </cell>
          <cell r="C5">
            <v>70562757.16</v>
          </cell>
          <cell r="D5">
            <v>22847721.18</v>
          </cell>
          <cell r="E5">
            <v>11903024.61</v>
          </cell>
        </row>
        <row r="5">
          <cell r="G5">
            <v>90552425.12</v>
          </cell>
        </row>
        <row r="6">
          <cell r="A6" t="str">
            <v>Ambarkhana</v>
          </cell>
          <cell r="B6">
            <v>59781686.92</v>
          </cell>
          <cell r="C6">
            <v>6800000</v>
          </cell>
        </row>
        <row r="6">
          <cell r="E6">
            <v>12908193.69</v>
          </cell>
        </row>
        <row r="6">
          <cell r="G6">
            <v>59293407.95</v>
          </cell>
        </row>
        <row r="7">
          <cell r="A7" t="str">
            <v>Anderkilla</v>
          </cell>
          <cell r="B7">
            <v>1536855.61</v>
          </cell>
          <cell r="C7">
            <v>55953398.71</v>
          </cell>
          <cell r="D7">
            <v>42105340</v>
          </cell>
          <cell r="E7">
            <v>70475649.44</v>
          </cell>
        </row>
        <row r="7">
          <cell r="G7">
            <v>283612105.63</v>
          </cell>
        </row>
        <row r="8">
          <cell r="A8" t="str">
            <v>Ashulia</v>
          </cell>
          <cell r="B8">
            <v>2326962.82</v>
          </cell>
          <cell r="C8">
            <v>38511690.51</v>
          </cell>
          <cell r="D8">
            <v>55288748.86</v>
          </cell>
          <cell r="E8">
            <v>239643773.22</v>
          </cell>
        </row>
        <row r="8">
          <cell r="G8">
            <v>122583136.4</v>
          </cell>
        </row>
        <row r="9">
          <cell r="A9" t="str">
            <v>Badda</v>
          </cell>
          <cell r="B9">
            <v>8172414.26</v>
          </cell>
          <cell r="C9">
            <v>69024816.31</v>
          </cell>
          <cell r="D9">
            <v>62939172.72</v>
          </cell>
          <cell r="E9">
            <v>119312726.63</v>
          </cell>
        </row>
        <row r="9">
          <cell r="G9">
            <v>227933541.75</v>
          </cell>
        </row>
        <row r="10">
          <cell r="A10" t="str">
            <v>Bagerhat</v>
          </cell>
          <cell r="B10">
            <v>35068343.98</v>
          </cell>
          <cell r="C10">
            <v>4941402</v>
          </cell>
        </row>
        <row r="10">
          <cell r="E10">
            <v>12199017.18</v>
          </cell>
        </row>
        <row r="10">
          <cell r="G10">
            <v>77426964.09</v>
          </cell>
        </row>
        <row r="11">
          <cell r="A11" t="str">
            <v>Baligaon</v>
          </cell>
          <cell r="B11">
            <v>26448500.09</v>
          </cell>
        </row>
        <row r="11">
          <cell r="G11">
            <v>24190790.07</v>
          </cell>
        </row>
        <row r="12">
          <cell r="A12" t="str">
            <v>Banasree</v>
          </cell>
          <cell r="B12">
            <v>5678402.33</v>
          </cell>
          <cell r="C12">
            <v>91070864.97</v>
          </cell>
          <cell r="D12">
            <v>104585827.52</v>
          </cell>
          <cell r="E12">
            <v>69280057.63</v>
          </cell>
        </row>
        <row r="12">
          <cell r="G12">
            <v>177185166.79</v>
          </cell>
        </row>
        <row r="13">
          <cell r="A13" t="str">
            <v>Bancharampur</v>
          </cell>
          <cell r="B13">
            <v>58140422.28</v>
          </cell>
        </row>
        <row r="13">
          <cell r="G13">
            <v>16453675.5</v>
          </cell>
        </row>
        <row r="14">
          <cell r="A14" t="str">
            <v>Bandartila </v>
          </cell>
          <cell r="B14">
            <v>20229214.02</v>
          </cell>
          <cell r="C14">
            <v>11588580.23</v>
          </cell>
          <cell r="D14">
            <v>17327546.37</v>
          </cell>
          <cell r="E14">
            <v>22292009.85</v>
          </cell>
        </row>
        <row r="14">
          <cell r="G14">
            <v>61367658.22</v>
          </cell>
        </row>
        <row r="15">
          <cell r="A15" t="str">
            <v>Barguna</v>
          </cell>
          <cell r="B15">
            <v>36057196.16</v>
          </cell>
          <cell r="C15">
            <v>10616268.59</v>
          </cell>
          <cell r="D15">
            <v>9533300.39</v>
          </cell>
        </row>
        <row r="15">
          <cell r="G15">
            <v>63614017.53</v>
          </cell>
        </row>
        <row r="16">
          <cell r="A16" t="str">
            <v>Barishal</v>
          </cell>
          <cell r="B16">
            <v>27941436.12</v>
          </cell>
          <cell r="C16">
            <v>77800960.7</v>
          </cell>
          <cell r="D16">
            <v>33082549.43</v>
          </cell>
          <cell r="E16">
            <v>31108678.89</v>
          </cell>
        </row>
        <row r="16">
          <cell r="G16">
            <v>128508262.34</v>
          </cell>
        </row>
        <row r="17">
          <cell r="A17" t="str">
            <v>Bhanga</v>
          </cell>
          <cell r="B17">
            <v>72490064.66</v>
          </cell>
          <cell r="C17">
            <v>34296136.1</v>
          </cell>
        </row>
        <row r="17">
          <cell r="E17">
            <v>33544067.34</v>
          </cell>
        </row>
        <row r="17">
          <cell r="G17">
            <v>51627631.38</v>
          </cell>
        </row>
        <row r="18">
          <cell r="A18" t="str">
            <v>Bharaib</v>
          </cell>
          <cell r="B18">
            <v>15659834.95</v>
          </cell>
          <cell r="C18">
            <v>4056120.47</v>
          </cell>
          <cell r="D18">
            <v>20935043.94</v>
          </cell>
          <cell r="E18">
            <v>19620775.17</v>
          </cell>
        </row>
        <row r="18">
          <cell r="G18">
            <v>82199924.76</v>
          </cell>
        </row>
        <row r="19">
          <cell r="A19" t="str">
            <v>Bheramara</v>
          </cell>
          <cell r="B19">
            <v>19160803.96</v>
          </cell>
          <cell r="C19">
            <v>16663768.01</v>
          </cell>
          <cell r="D19">
            <v>23725206.53</v>
          </cell>
        </row>
        <row r="19">
          <cell r="G19">
            <v>130368101.4</v>
          </cell>
        </row>
        <row r="20">
          <cell r="A20" t="str">
            <v>Bhola</v>
          </cell>
          <cell r="B20">
            <v>14787773.12</v>
          </cell>
          <cell r="C20">
            <v>35119388.55</v>
          </cell>
          <cell r="D20">
            <v>5965649.03</v>
          </cell>
          <cell r="E20">
            <v>8594471.09</v>
          </cell>
        </row>
        <row r="20">
          <cell r="G20">
            <v>54067303.97</v>
          </cell>
        </row>
        <row r="21">
          <cell r="A21" t="str">
            <v>Bhulta</v>
          </cell>
          <cell r="B21">
            <v>12330949.25</v>
          </cell>
          <cell r="C21">
            <v>37407542.07</v>
          </cell>
        </row>
        <row r="21">
          <cell r="E21">
            <v>27342218.95</v>
          </cell>
        </row>
        <row r="21">
          <cell r="G21">
            <v>152638362.71</v>
          </cell>
        </row>
        <row r="22">
          <cell r="A22" t="str">
            <v>Bogura</v>
          </cell>
          <cell r="B22">
            <v>45357945.06</v>
          </cell>
          <cell r="C22">
            <v>77193321.33</v>
          </cell>
          <cell r="D22">
            <v>49101919.93</v>
          </cell>
          <cell r="E22">
            <v>49331507.32</v>
          </cell>
        </row>
        <row r="22">
          <cell r="G22">
            <v>130867494.36</v>
          </cell>
        </row>
        <row r="23">
          <cell r="A23" t="str">
            <v>Brahmanbaria</v>
          </cell>
          <cell r="B23">
            <v>37164455.26</v>
          </cell>
          <cell r="C23">
            <v>21580950.85</v>
          </cell>
          <cell r="D23">
            <v>26588352.29</v>
          </cell>
        </row>
        <row r="23">
          <cell r="G23">
            <v>98918239.06</v>
          </cell>
        </row>
        <row r="24">
          <cell r="A24" t="str">
            <v>C. Nawabganj</v>
          </cell>
          <cell r="B24">
            <v>22227874.76</v>
          </cell>
          <cell r="C24">
            <v>28980539.45</v>
          </cell>
          <cell r="D24">
            <v>13898520.78</v>
          </cell>
          <cell r="E24">
            <v>73258004.67</v>
          </cell>
        </row>
        <row r="24">
          <cell r="G24">
            <v>143811751.88</v>
          </cell>
        </row>
        <row r="25">
          <cell r="A25" t="str">
            <v>Chandina</v>
          </cell>
          <cell r="B25">
            <v>117916772.85</v>
          </cell>
          <cell r="C25">
            <v>15285366.64</v>
          </cell>
          <cell r="D25">
            <v>18059374.04</v>
          </cell>
        </row>
        <row r="25">
          <cell r="G25">
            <v>99338995.24</v>
          </cell>
        </row>
        <row r="26">
          <cell r="A26" t="str">
            <v>Chauddagram</v>
          </cell>
          <cell r="B26">
            <v>58456185.38</v>
          </cell>
          <cell r="C26">
            <v>10027098.08</v>
          </cell>
          <cell r="D26">
            <v>4119121.05</v>
          </cell>
        </row>
        <row r="26">
          <cell r="G26">
            <v>61673202.64</v>
          </cell>
        </row>
        <row r="27">
          <cell r="A27" t="str">
            <v>Chawk Bazar</v>
          </cell>
          <cell r="B27">
            <v>1738500.91</v>
          </cell>
          <cell r="C27">
            <v>137677494.02</v>
          </cell>
          <cell r="D27">
            <v>90439303.02</v>
          </cell>
          <cell r="E27">
            <v>104599752.84</v>
          </cell>
        </row>
        <row r="27">
          <cell r="G27">
            <v>276087632.27</v>
          </cell>
        </row>
        <row r="28">
          <cell r="A28" t="str">
            <v>Choumohoni</v>
          </cell>
          <cell r="B28">
            <v>28050763.89</v>
          </cell>
          <cell r="C28">
            <v>33422216.84</v>
          </cell>
          <cell r="D28">
            <v>25895965.01</v>
          </cell>
        </row>
        <row r="28">
          <cell r="G28">
            <v>113856927.9</v>
          </cell>
        </row>
        <row r="29">
          <cell r="A29" t="str">
            <v>Chuadanga</v>
          </cell>
          <cell r="B29">
            <v>14781739.42</v>
          </cell>
          <cell r="C29">
            <v>88028637.15</v>
          </cell>
          <cell r="D29">
            <v>77041704.05</v>
          </cell>
          <cell r="E29">
            <v>7446233.83</v>
          </cell>
        </row>
        <row r="29">
          <cell r="G29">
            <v>127134224.22</v>
          </cell>
        </row>
        <row r="30">
          <cell r="A30" t="str">
            <v>Comilla East</v>
          </cell>
          <cell r="B30">
            <v>39777792.74</v>
          </cell>
          <cell r="C30">
            <v>25737153.35</v>
          </cell>
          <cell r="D30">
            <v>31970373.47</v>
          </cell>
          <cell r="E30">
            <v>21068876.28</v>
          </cell>
        </row>
        <row r="30">
          <cell r="G30">
            <v>102572796.13</v>
          </cell>
        </row>
        <row r="31">
          <cell r="A31" t="str">
            <v>Comilla West</v>
          </cell>
          <cell r="B31">
            <v>28726942.32</v>
          </cell>
          <cell r="C31">
            <v>20044157.56</v>
          </cell>
          <cell r="D31">
            <v>17649047.27</v>
          </cell>
          <cell r="E31">
            <v>11946635.57</v>
          </cell>
        </row>
        <row r="31">
          <cell r="G31">
            <v>84832597.95</v>
          </cell>
        </row>
        <row r="32">
          <cell r="A32" t="str">
            <v>Companygonj</v>
          </cell>
          <cell r="B32">
            <v>73136961.3000001</v>
          </cell>
          <cell r="C32">
            <v>2851402.02</v>
          </cell>
          <cell r="D32">
            <v>3548653.37</v>
          </cell>
        </row>
        <row r="32">
          <cell r="G32">
            <v>29445846.28</v>
          </cell>
        </row>
        <row r="33">
          <cell r="A33" t="str">
            <v>Cox's Bazar</v>
          </cell>
          <cell r="B33">
            <v>12356127.21</v>
          </cell>
          <cell r="C33">
            <v>16143081.65</v>
          </cell>
          <cell r="D33">
            <v>9748858.57</v>
          </cell>
        </row>
        <row r="33">
          <cell r="G33">
            <v>60680400.18</v>
          </cell>
        </row>
        <row r="34">
          <cell r="A34" t="str">
            <v>Daulatpur</v>
          </cell>
          <cell r="B34">
            <v>8820365.56</v>
          </cell>
          <cell r="C34">
            <v>61193966.47</v>
          </cell>
          <cell r="D34">
            <v>23503857.86</v>
          </cell>
          <cell r="E34">
            <v>4462250.98</v>
          </cell>
        </row>
        <row r="34">
          <cell r="G34">
            <v>106547175.42</v>
          </cell>
        </row>
        <row r="35">
          <cell r="A35" t="str">
            <v>DEPZ</v>
          </cell>
          <cell r="B35">
            <v>6455439.32</v>
          </cell>
          <cell r="C35">
            <v>61405790.63</v>
          </cell>
          <cell r="D35">
            <v>17069943.77</v>
          </cell>
          <cell r="E35">
            <v>169250862.89</v>
          </cell>
        </row>
        <row r="35">
          <cell r="G35">
            <v>139513710.34</v>
          </cell>
        </row>
        <row r="36">
          <cell r="A36" t="str">
            <v>Dhamrai</v>
          </cell>
          <cell r="B36">
            <v>8260550.78</v>
          </cell>
          <cell r="C36">
            <v>19089098.79</v>
          </cell>
          <cell r="D36">
            <v>38237239.49</v>
          </cell>
          <cell r="E36">
            <v>12827007.26</v>
          </cell>
        </row>
        <row r="36">
          <cell r="G36">
            <v>66497148.07</v>
          </cell>
        </row>
        <row r="37">
          <cell r="A37" t="str">
            <v>Dinajpur</v>
          </cell>
          <cell r="B37">
            <v>20837205.34</v>
          </cell>
          <cell r="C37">
            <v>41984879.98</v>
          </cell>
          <cell r="D37">
            <v>69480716.82</v>
          </cell>
          <cell r="E37">
            <v>71915606.16</v>
          </cell>
        </row>
        <row r="37">
          <cell r="G37">
            <v>109240720.03</v>
          </cell>
        </row>
        <row r="38">
          <cell r="A38" t="str">
            <v>Elephant Road</v>
          </cell>
          <cell r="B38">
            <v>6545105.67</v>
          </cell>
          <cell r="C38">
            <v>85864490.97</v>
          </cell>
          <cell r="D38">
            <v>132645489.24</v>
          </cell>
          <cell r="E38">
            <v>151458911.86</v>
          </cell>
        </row>
        <row r="38">
          <cell r="G38">
            <v>196979978.74</v>
          </cell>
        </row>
        <row r="39">
          <cell r="A39" t="str">
            <v>Faridpur</v>
          </cell>
          <cell r="B39">
            <v>56806626.98</v>
          </cell>
          <cell r="C39">
            <v>19014445.16</v>
          </cell>
        </row>
        <row r="39">
          <cell r="G39">
            <v>94933035.45</v>
          </cell>
        </row>
        <row r="40">
          <cell r="A40" t="str">
            <v>Fatullah</v>
          </cell>
          <cell r="B40">
            <v>8365959.18</v>
          </cell>
          <cell r="C40">
            <v>31353956.5</v>
          </cell>
          <cell r="D40">
            <v>12212169.24</v>
          </cell>
          <cell r="E40">
            <v>10406794.02</v>
          </cell>
        </row>
        <row r="40">
          <cell r="G40">
            <v>91652023.08</v>
          </cell>
        </row>
        <row r="41">
          <cell r="A41" t="str">
            <v>Feni</v>
          </cell>
          <cell r="B41">
            <v>21390392.66</v>
          </cell>
          <cell r="C41">
            <v>67779242.8</v>
          </cell>
          <cell r="D41">
            <v>32213906.52</v>
          </cell>
          <cell r="E41">
            <v>35741689.57</v>
          </cell>
        </row>
        <row r="41">
          <cell r="G41">
            <v>132726228.88</v>
          </cell>
        </row>
        <row r="42">
          <cell r="A42" t="str">
            <v>Fulbari</v>
          </cell>
          <cell r="B42">
            <v>16514875.83</v>
          </cell>
          <cell r="C42">
            <v>33294603.51</v>
          </cell>
          <cell r="D42">
            <v>16246514.5</v>
          </cell>
        </row>
        <row r="42">
          <cell r="G42">
            <v>69187204.07</v>
          </cell>
        </row>
        <row r="43">
          <cell r="A43" t="str">
            <v>Gaibandha</v>
          </cell>
          <cell r="B43">
            <v>23409257.3</v>
          </cell>
          <cell r="C43">
            <v>17282374.37</v>
          </cell>
          <cell r="D43">
            <v>49724990.71</v>
          </cell>
          <cell r="E43">
            <v>33456423.55</v>
          </cell>
        </row>
        <row r="43">
          <cell r="G43">
            <v>116276101.04</v>
          </cell>
        </row>
        <row r="44">
          <cell r="A44" t="str">
            <v>Gazipur</v>
          </cell>
          <cell r="B44">
            <v>2056376.1</v>
          </cell>
          <cell r="C44">
            <v>74900163.95</v>
          </cell>
          <cell r="D44">
            <v>29855444.95</v>
          </cell>
          <cell r="E44">
            <v>86739942.45</v>
          </cell>
        </row>
        <row r="44">
          <cell r="G44">
            <v>223254660.07</v>
          </cell>
        </row>
        <row r="45">
          <cell r="A45" t="str">
            <v>Ghatail</v>
          </cell>
          <cell r="B45">
            <v>10995714.11</v>
          </cell>
          <cell r="C45">
            <v>9564454.93</v>
          </cell>
          <cell r="D45">
            <v>24615610.78</v>
          </cell>
          <cell r="E45">
            <v>13566471.29</v>
          </cell>
        </row>
        <row r="45">
          <cell r="G45">
            <v>54633358.31</v>
          </cell>
        </row>
        <row r="46">
          <cell r="A46" t="str">
            <v>Gopalgonj</v>
          </cell>
          <cell r="B46">
            <v>15653024.66</v>
          </cell>
          <cell r="C46">
            <v>32118514.13</v>
          </cell>
          <cell r="D46">
            <v>41389283.19</v>
          </cell>
          <cell r="E46">
            <v>40115123.48</v>
          </cell>
        </row>
        <row r="46">
          <cell r="G46">
            <v>100439297.68</v>
          </cell>
        </row>
        <row r="47">
          <cell r="A47" t="str">
            <v>Gulistan</v>
          </cell>
          <cell r="B47">
            <v>1527135.38</v>
          </cell>
          <cell r="C47">
            <v>80715960.68</v>
          </cell>
          <cell r="D47">
            <v>139237264.35</v>
          </cell>
          <cell r="E47">
            <v>77479552.31</v>
          </cell>
        </row>
        <row r="47">
          <cell r="G47">
            <v>221989526.79</v>
          </cell>
        </row>
        <row r="48">
          <cell r="A48" t="str">
            <v>Halishahar</v>
          </cell>
          <cell r="B48">
            <v>9993354.77</v>
          </cell>
          <cell r="C48">
            <v>66356326.91</v>
          </cell>
          <cell r="D48">
            <v>69514163.52</v>
          </cell>
          <cell r="E48">
            <v>29099826.27</v>
          </cell>
        </row>
        <row r="48">
          <cell r="G48">
            <v>179565726.95</v>
          </cell>
        </row>
        <row r="49">
          <cell r="A49" t="str">
            <v>Hasnabad</v>
          </cell>
          <cell r="B49">
            <v>13472169.6</v>
          </cell>
          <cell r="C49">
            <v>38471282.01</v>
          </cell>
          <cell r="D49">
            <v>33464712.13</v>
          </cell>
          <cell r="E49">
            <v>58397076.96</v>
          </cell>
        </row>
        <row r="49">
          <cell r="G49">
            <v>89489980.01</v>
          </cell>
        </row>
        <row r="50">
          <cell r="A50" t="str">
            <v>Hathazari</v>
          </cell>
          <cell r="B50">
            <v>13595125.15</v>
          </cell>
          <cell r="C50">
            <v>74388207.54</v>
          </cell>
          <cell r="D50">
            <v>34743307.22</v>
          </cell>
          <cell r="E50">
            <v>23362357.71</v>
          </cell>
        </row>
        <row r="50">
          <cell r="G50">
            <v>189626310.76</v>
          </cell>
        </row>
        <row r="51">
          <cell r="A51" t="str">
            <v>Hazigonj</v>
          </cell>
          <cell r="B51">
            <v>25657945.27</v>
          </cell>
          <cell r="C51">
            <v>41625692.2</v>
          </cell>
          <cell r="D51">
            <v>19314695.69</v>
          </cell>
          <cell r="E51">
            <v>11590888.78</v>
          </cell>
        </row>
        <row r="51">
          <cell r="G51">
            <v>118908766.51</v>
          </cell>
        </row>
        <row r="52">
          <cell r="A52" t="str">
            <v>Hobigonj</v>
          </cell>
          <cell r="B52">
            <v>114637795.53</v>
          </cell>
          <cell r="C52">
            <v>12444677.48</v>
          </cell>
          <cell r="D52">
            <v>987518.13</v>
          </cell>
        </row>
        <row r="52">
          <cell r="G52">
            <v>30544879.48</v>
          </cell>
        </row>
        <row r="53">
          <cell r="A53" t="str">
            <v>Imamgonj</v>
          </cell>
          <cell r="B53">
            <v>3347535.29</v>
          </cell>
          <cell r="C53">
            <v>83207772.93</v>
          </cell>
          <cell r="D53">
            <v>98005301.59</v>
          </cell>
          <cell r="E53">
            <v>103133664.03</v>
          </cell>
        </row>
        <row r="53">
          <cell r="G53">
            <v>131739871.96</v>
          </cell>
        </row>
        <row r="54">
          <cell r="A54" t="str">
            <v>Ishwardi</v>
          </cell>
          <cell r="B54">
            <v>10450073.25</v>
          </cell>
          <cell r="C54">
            <v>57676283.68</v>
          </cell>
          <cell r="D54">
            <v>94735226.8</v>
          </cell>
          <cell r="E54">
            <v>65456249.93</v>
          </cell>
        </row>
        <row r="54">
          <cell r="G54">
            <v>153644730.85</v>
          </cell>
        </row>
        <row r="55">
          <cell r="A55" t="str">
            <v>Islambagh</v>
          </cell>
          <cell r="B55">
            <v>5159248.5</v>
          </cell>
          <cell r="C55">
            <v>71541790.64</v>
          </cell>
          <cell r="D55">
            <v>89995691.58</v>
          </cell>
          <cell r="E55">
            <v>53523969.26</v>
          </cell>
        </row>
        <row r="55">
          <cell r="G55">
            <v>151922083.55</v>
          </cell>
        </row>
        <row r="56">
          <cell r="A56" t="str">
            <v>Islampur Road</v>
          </cell>
          <cell r="B56">
            <v>2660244.62</v>
          </cell>
          <cell r="C56">
            <v>107478378.9</v>
          </cell>
          <cell r="D56">
            <v>98447652.79</v>
          </cell>
          <cell r="E56">
            <v>80656714.33</v>
          </cell>
        </row>
        <row r="56">
          <cell r="G56">
            <v>280358143.73</v>
          </cell>
        </row>
        <row r="57">
          <cell r="A57" t="str">
            <v>Jamalpur</v>
          </cell>
          <cell r="B57">
            <v>3105506.82</v>
          </cell>
        </row>
        <row r="57">
          <cell r="G57">
            <v>38545491.14</v>
          </cell>
        </row>
        <row r="58">
          <cell r="A58" t="str">
            <v>Jatrabari</v>
          </cell>
          <cell r="B58">
            <v>4327894.78</v>
          </cell>
          <cell r="C58">
            <v>114175640.38</v>
          </cell>
          <cell r="D58">
            <v>51140499.4</v>
          </cell>
          <cell r="E58">
            <v>73124173.51</v>
          </cell>
        </row>
        <row r="58">
          <cell r="G58">
            <v>249469160.29</v>
          </cell>
        </row>
        <row r="59">
          <cell r="A59" t="str">
            <v>Jessore</v>
          </cell>
          <cell r="B59">
            <v>16408484.09</v>
          </cell>
          <cell r="C59">
            <v>98734282.7</v>
          </cell>
          <cell r="D59">
            <v>118931426.94</v>
          </cell>
          <cell r="E59">
            <v>26022432.08</v>
          </cell>
        </row>
        <row r="59">
          <cell r="G59">
            <v>258852348.23</v>
          </cell>
        </row>
        <row r="60">
          <cell r="A60" t="str">
            <v>Jhenaidah</v>
          </cell>
          <cell r="B60">
            <v>19720816.23</v>
          </cell>
          <cell r="C60">
            <v>39520529.03</v>
          </cell>
          <cell r="D60">
            <v>9923292.26</v>
          </cell>
          <cell r="E60">
            <v>24613947.9</v>
          </cell>
        </row>
        <row r="60">
          <cell r="G60">
            <v>171382557.56</v>
          </cell>
        </row>
        <row r="61">
          <cell r="A61" t="str">
            <v>Jikorgacha</v>
          </cell>
          <cell r="B61">
            <v>29023859.55</v>
          </cell>
          <cell r="C61">
            <v>23261857.48</v>
          </cell>
          <cell r="D61">
            <v>22499930.76</v>
          </cell>
          <cell r="E61">
            <v>5323331.79</v>
          </cell>
        </row>
        <row r="61">
          <cell r="G61">
            <v>141401427.67</v>
          </cell>
        </row>
        <row r="62">
          <cell r="A62" t="str">
            <v>Joydebpur</v>
          </cell>
          <cell r="B62">
            <v>4684108.15</v>
          </cell>
          <cell r="C62">
            <v>54081026.11</v>
          </cell>
          <cell r="D62">
            <v>25360110.54</v>
          </cell>
          <cell r="E62">
            <v>71531585.2</v>
          </cell>
        </row>
        <row r="62">
          <cell r="G62">
            <v>213594497.52</v>
          </cell>
        </row>
        <row r="63">
          <cell r="A63" t="str">
            <v>Joypurhat</v>
          </cell>
          <cell r="B63">
            <v>6917988.49</v>
          </cell>
          <cell r="C63">
            <v>14661636.79</v>
          </cell>
          <cell r="D63">
            <v>64131826.2</v>
          </cell>
          <cell r="E63">
            <v>58173332.15</v>
          </cell>
        </row>
        <row r="63">
          <cell r="G63">
            <v>74675264.02</v>
          </cell>
        </row>
        <row r="64">
          <cell r="A64" t="str">
            <v>Kadamtali</v>
          </cell>
          <cell r="B64">
            <v>1798733.12</v>
          </cell>
          <cell r="C64">
            <v>40284835.5</v>
          </cell>
          <cell r="D64">
            <v>36318807.92</v>
          </cell>
        </row>
        <row r="64">
          <cell r="G64">
            <v>166955856.36</v>
          </cell>
        </row>
        <row r="65">
          <cell r="A65" t="str">
            <v>Kaliakair</v>
          </cell>
        </row>
        <row r="65">
          <cell r="D65">
            <v>8000000</v>
          </cell>
        </row>
        <row r="66">
          <cell r="A66" t="str">
            <v>Kalurghat</v>
          </cell>
          <cell r="B66">
            <v>2164276.11</v>
          </cell>
          <cell r="C66">
            <v>53774969.17</v>
          </cell>
          <cell r="D66">
            <v>22110019.01</v>
          </cell>
          <cell r="E66">
            <v>26069026.84</v>
          </cell>
        </row>
        <row r="66">
          <cell r="G66">
            <v>153216277.86</v>
          </cell>
        </row>
        <row r="67">
          <cell r="A67" t="str">
            <v>Kamrangirchar</v>
          </cell>
          <cell r="B67">
            <v>18977755.07</v>
          </cell>
          <cell r="C67">
            <v>88356580.52</v>
          </cell>
          <cell r="D67">
            <v>54659009.42</v>
          </cell>
          <cell r="E67">
            <v>8447447.05</v>
          </cell>
        </row>
        <row r="67">
          <cell r="G67">
            <v>194892538.79</v>
          </cell>
        </row>
        <row r="68">
          <cell r="A68" t="str">
            <v>Kazipara</v>
          </cell>
          <cell r="B68">
            <v>5446539.87</v>
          </cell>
          <cell r="C68">
            <v>26109493.03</v>
          </cell>
          <cell r="D68">
            <v>59813463.82</v>
          </cell>
          <cell r="E68">
            <v>82292934</v>
          </cell>
        </row>
        <row r="68">
          <cell r="G68">
            <v>83817912.75</v>
          </cell>
        </row>
        <row r="69">
          <cell r="A69" t="str">
            <v>Keranigonj</v>
          </cell>
          <cell r="B69">
            <v>9551557.31</v>
          </cell>
          <cell r="C69">
            <v>65420654.05</v>
          </cell>
          <cell r="D69">
            <v>65245274.41</v>
          </cell>
          <cell r="E69">
            <v>20372462.86</v>
          </cell>
        </row>
        <row r="69">
          <cell r="G69">
            <v>194627274.25</v>
          </cell>
        </row>
        <row r="70">
          <cell r="A70" t="str">
            <v>Keshobpur</v>
          </cell>
          <cell r="B70">
            <v>27553000.14</v>
          </cell>
          <cell r="C70">
            <v>59558317.17</v>
          </cell>
          <cell r="D70">
            <v>21888290.88</v>
          </cell>
          <cell r="E70">
            <v>27101851.77</v>
          </cell>
        </row>
        <row r="70">
          <cell r="G70">
            <v>181149259.28</v>
          </cell>
        </row>
        <row r="71">
          <cell r="A71" t="str">
            <v>Khatungonj</v>
          </cell>
          <cell r="B71">
            <v>542321.66</v>
          </cell>
          <cell r="C71">
            <v>84811968.03</v>
          </cell>
          <cell r="D71">
            <v>101942792.54</v>
          </cell>
          <cell r="E71">
            <v>62099026.04</v>
          </cell>
        </row>
        <row r="71">
          <cell r="G71">
            <v>176768526.68</v>
          </cell>
        </row>
        <row r="72">
          <cell r="A72" t="str">
            <v>Khulna</v>
          </cell>
          <cell r="B72">
            <v>12002405.18</v>
          </cell>
          <cell r="C72">
            <v>152409603.69</v>
          </cell>
          <cell r="D72">
            <v>119380680.7</v>
          </cell>
          <cell r="E72">
            <v>70245460.54</v>
          </cell>
        </row>
        <row r="72">
          <cell r="G72">
            <v>261238768.17</v>
          </cell>
        </row>
        <row r="73">
          <cell r="A73" t="str">
            <v>Konabari</v>
          </cell>
          <cell r="B73">
            <v>5600706.16</v>
          </cell>
          <cell r="C73">
            <v>68430804.14</v>
          </cell>
          <cell r="D73">
            <v>27035996.69</v>
          </cell>
          <cell r="E73">
            <v>116617194.12</v>
          </cell>
        </row>
        <row r="73">
          <cell r="G73">
            <v>286143867.76</v>
          </cell>
        </row>
        <row r="74">
          <cell r="A74" t="str">
            <v>Kosba</v>
          </cell>
          <cell r="B74">
            <v>47314268</v>
          </cell>
          <cell r="C74">
            <v>5587907.28</v>
          </cell>
        </row>
        <row r="74">
          <cell r="G74">
            <v>36829384.93</v>
          </cell>
        </row>
        <row r="75">
          <cell r="A75" t="str">
            <v>Kotiadi</v>
          </cell>
          <cell r="B75">
            <v>62748936.67</v>
          </cell>
        </row>
        <row r="75">
          <cell r="G75">
            <v>36721519.58</v>
          </cell>
        </row>
        <row r="76">
          <cell r="A76" t="str">
            <v>Kulaura </v>
          </cell>
          <cell r="B76">
            <v>74025922.93</v>
          </cell>
        </row>
        <row r="77">
          <cell r="A77" t="str">
            <v>Kurigram</v>
          </cell>
          <cell r="B77">
            <v>76018844.7200001</v>
          </cell>
          <cell r="C77">
            <v>28796791</v>
          </cell>
          <cell r="D77">
            <v>23829341.54</v>
          </cell>
          <cell r="E77">
            <v>15000000</v>
          </cell>
        </row>
        <row r="77">
          <cell r="G77">
            <v>95603171.25</v>
          </cell>
        </row>
        <row r="78">
          <cell r="A78" t="str">
            <v>Kushtia</v>
          </cell>
          <cell r="B78">
            <v>10882700.17</v>
          </cell>
          <cell r="C78">
            <v>43390848.09</v>
          </cell>
          <cell r="D78">
            <v>50793341.91</v>
          </cell>
          <cell r="E78">
            <v>43654566.19</v>
          </cell>
        </row>
        <row r="78">
          <cell r="G78">
            <v>184273809.15</v>
          </cell>
        </row>
        <row r="79">
          <cell r="A79" t="str">
            <v>Laksham</v>
          </cell>
          <cell r="B79">
            <v>57932194.29</v>
          </cell>
          <cell r="C79">
            <v>14337802.38</v>
          </cell>
        </row>
        <row r="79">
          <cell r="G79">
            <v>53027898.78</v>
          </cell>
        </row>
        <row r="80">
          <cell r="A80" t="str">
            <v>Laxmipur</v>
          </cell>
          <cell r="B80">
            <v>21379489.5</v>
          </cell>
          <cell r="C80">
            <v>24303384.7</v>
          </cell>
          <cell r="D80">
            <v>6488006.67</v>
          </cell>
          <cell r="E80">
            <v>14602362.29</v>
          </cell>
        </row>
        <row r="80">
          <cell r="G80">
            <v>70739117.51</v>
          </cell>
        </row>
        <row r="81">
          <cell r="A81" t="str">
            <v>Lohagora, CTG</v>
          </cell>
          <cell r="B81">
            <v>24766178.31</v>
          </cell>
          <cell r="C81">
            <v>19416002.08</v>
          </cell>
          <cell r="D81">
            <v>7216736.88</v>
          </cell>
          <cell r="E81">
            <v>11510315.63</v>
          </cell>
        </row>
        <row r="81">
          <cell r="G81">
            <v>116741434.4</v>
          </cell>
        </row>
        <row r="82">
          <cell r="A82" t="str">
            <v>Madhabpur</v>
          </cell>
          <cell r="B82">
            <v>78622633.95</v>
          </cell>
          <cell r="C82">
            <v>24033561.57</v>
          </cell>
        </row>
        <row r="82">
          <cell r="G82">
            <v>71105126.51</v>
          </cell>
        </row>
        <row r="83">
          <cell r="A83" t="str">
            <v>Magura</v>
          </cell>
          <cell r="B83">
            <v>25658646.67</v>
          </cell>
          <cell r="C83">
            <v>2950580.26</v>
          </cell>
        </row>
        <row r="83">
          <cell r="G83">
            <v>90963255.44</v>
          </cell>
        </row>
        <row r="84">
          <cell r="A84" t="str">
            <v>Maijdee</v>
          </cell>
          <cell r="B84">
            <v>60150591.03</v>
          </cell>
          <cell r="C84">
            <v>4577563.33</v>
          </cell>
        </row>
        <row r="84">
          <cell r="E84">
            <v>38457721.4</v>
          </cell>
        </row>
        <row r="84">
          <cell r="G84">
            <v>100672772.57</v>
          </cell>
        </row>
        <row r="85">
          <cell r="A85" t="str">
            <v>Manikgonj</v>
          </cell>
          <cell r="B85">
            <v>16087052.08</v>
          </cell>
          <cell r="C85">
            <v>12364768.01</v>
          </cell>
          <cell r="D85">
            <v>7343066.46</v>
          </cell>
        </row>
        <row r="85">
          <cell r="G85">
            <v>22721915.98</v>
          </cell>
        </row>
        <row r="86">
          <cell r="A86" t="str">
            <v>Mirpur</v>
          </cell>
          <cell r="B86">
            <v>5477773.61</v>
          </cell>
          <cell r="C86">
            <v>137900183.35</v>
          </cell>
          <cell r="D86">
            <v>124303468.47</v>
          </cell>
          <cell r="E86">
            <v>162337828.7</v>
          </cell>
        </row>
        <row r="86">
          <cell r="G86">
            <v>274092319.89</v>
          </cell>
        </row>
        <row r="87">
          <cell r="A87" t="str">
            <v>Moghbazar</v>
          </cell>
          <cell r="B87">
            <v>2993566.97</v>
          </cell>
          <cell r="C87">
            <v>114491473.98</v>
          </cell>
          <cell r="D87">
            <v>97031760.71</v>
          </cell>
          <cell r="E87">
            <v>141740534.38</v>
          </cell>
        </row>
        <row r="87">
          <cell r="G87">
            <v>184098757.94</v>
          </cell>
        </row>
        <row r="88">
          <cell r="A88" t="str">
            <v>Mohammadpur</v>
          </cell>
          <cell r="B88">
            <v>6215598.96</v>
          </cell>
          <cell r="C88">
            <v>47325839.18</v>
          </cell>
          <cell r="D88">
            <v>34102622.3</v>
          </cell>
        </row>
        <row r="88">
          <cell r="G88">
            <v>214761517.27</v>
          </cell>
        </row>
        <row r="89">
          <cell r="A89" t="str">
            <v>Mymensingh</v>
          </cell>
          <cell r="B89">
            <v>4021086.89</v>
          </cell>
          <cell r="C89">
            <v>41921593.54</v>
          </cell>
          <cell r="D89">
            <v>23491142.41</v>
          </cell>
          <cell r="E89">
            <v>75264039.64</v>
          </cell>
        </row>
        <row r="89">
          <cell r="G89">
            <v>270722291.11</v>
          </cell>
        </row>
        <row r="90">
          <cell r="A90" t="str">
            <v>Nangolkot</v>
          </cell>
          <cell r="B90">
            <v>124556430.45</v>
          </cell>
        </row>
        <row r="90">
          <cell r="G90">
            <v>23635938.79</v>
          </cell>
        </row>
        <row r="91">
          <cell r="A91" t="str">
            <v>Naogaon</v>
          </cell>
          <cell r="B91">
            <v>29411233.98</v>
          </cell>
          <cell r="C91">
            <v>55513307.33</v>
          </cell>
          <cell r="D91">
            <v>50107955.93</v>
          </cell>
          <cell r="E91">
            <v>130590508.6</v>
          </cell>
        </row>
        <row r="91">
          <cell r="G91">
            <v>148152215.31</v>
          </cell>
        </row>
        <row r="92">
          <cell r="A92" t="str">
            <v>Narail</v>
          </cell>
          <cell r="B92">
            <v>28935659.19</v>
          </cell>
          <cell r="C92">
            <v>26131381.87</v>
          </cell>
          <cell r="D92">
            <v>10173290.53</v>
          </cell>
          <cell r="E92">
            <v>11390781.19</v>
          </cell>
        </row>
        <row r="92">
          <cell r="G92">
            <v>104014380.4</v>
          </cell>
        </row>
        <row r="93">
          <cell r="A93" t="str">
            <v>Narayangonj</v>
          </cell>
          <cell r="B93">
            <v>8176734.14</v>
          </cell>
          <cell r="C93">
            <v>72626976.92</v>
          </cell>
          <cell r="D93">
            <v>72874875.85</v>
          </cell>
          <cell r="E93">
            <v>99474907.82</v>
          </cell>
        </row>
        <row r="93">
          <cell r="G93">
            <v>167928960.14</v>
          </cell>
        </row>
        <row r="94">
          <cell r="A94" t="str">
            <v>Narsingdi</v>
          </cell>
          <cell r="B94">
            <v>29689576.95</v>
          </cell>
          <cell r="C94">
            <v>71929795.81</v>
          </cell>
          <cell r="D94">
            <v>129495971.99</v>
          </cell>
          <cell r="E94">
            <v>95617757.33</v>
          </cell>
        </row>
        <row r="94">
          <cell r="G94">
            <v>297635491.83</v>
          </cell>
        </row>
        <row r="95">
          <cell r="A95" t="str">
            <v>Nawabgonj</v>
          </cell>
          <cell r="B95">
            <v>70716323.14</v>
          </cell>
          <cell r="C95">
            <v>2114463.21</v>
          </cell>
        </row>
        <row r="95">
          <cell r="G95">
            <v>74294669.19</v>
          </cell>
        </row>
        <row r="96">
          <cell r="A96" t="str">
            <v>Nawabpur</v>
          </cell>
          <cell r="B96">
            <v>2267935.58</v>
          </cell>
          <cell r="C96">
            <v>55091603.32</v>
          </cell>
          <cell r="D96">
            <v>112924265.19</v>
          </cell>
          <cell r="E96">
            <v>85783517.03</v>
          </cell>
        </row>
        <row r="96">
          <cell r="G96">
            <v>227621185</v>
          </cell>
        </row>
        <row r="97">
          <cell r="A97" t="str">
            <v>Nondon Kanon</v>
          </cell>
          <cell r="B97">
            <v>6035712.42</v>
          </cell>
          <cell r="C97">
            <v>101786878.3</v>
          </cell>
          <cell r="D97">
            <v>75552297.63</v>
          </cell>
          <cell r="E97">
            <v>45830537.51</v>
          </cell>
        </row>
        <row r="97">
          <cell r="G97">
            <v>273864950.73</v>
          </cell>
        </row>
        <row r="98">
          <cell r="A98" t="str">
            <v>Pabna</v>
          </cell>
          <cell r="B98">
            <v>21509909.89</v>
          </cell>
          <cell r="C98">
            <v>57940967.67</v>
          </cell>
          <cell r="D98">
            <v>80095591.08</v>
          </cell>
          <cell r="E98">
            <v>72852336.08</v>
          </cell>
        </row>
        <row r="98">
          <cell r="G98">
            <v>213449824.43</v>
          </cell>
        </row>
        <row r="99">
          <cell r="A99" t="str">
            <v>Pahartali</v>
          </cell>
          <cell r="B99">
            <v>13557394.53</v>
          </cell>
          <cell r="C99">
            <v>87383524.24</v>
          </cell>
          <cell r="D99">
            <v>32158343.69</v>
          </cell>
        </row>
        <row r="99">
          <cell r="G99">
            <v>196215186.89</v>
          </cell>
        </row>
        <row r="100">
          <cell r="A100" t="str">
            <v>Panchaghar</v>
          </cell>
          <cell r="B100">
            <v>26026087.81</v>
          </cell>
          <cell r="C100">
            <v>6332704.23</v>
          </cell>
          <cell r="D100">
            <v>2180947.71</v>
          </cell>
        </row>
        <row r="100">
          <cell r="G100">
            <v>100773081.21</v>
          </cell>
        </row>
        <row r="101">
          <cell r="A101" t="str">
            <v>Patuakhali</v>
          </cell>
          <cell r="B101">
            <v>26748565.6</v>
          </cell>
          <cell r="C101">
            <v>33432480</v>
          </cell>
          <cell r="D101">
            <v>8003924.68</v>
          </cell>
        </row>
        <row r="101">
          <cell r="G101">
            <v>152351596.93</v>
          </cell>
        </row>
        <row r="102">
          <cell r="A102" t="str">
            <v>Potiya</v>
          </cell>
          <cell r="B102">
            <v>18069454.04</v>
          </cell>
          <cell r="C102">
            <v>14044519.33</v>
          </cell>
          <cell r="D102">
            <v>21765208.61</v>
          </cell>
        </row>
        <row r="102">
          <cell r="G102">
            <v>125054948.26</v>
          </cell>
        </row>
        <row r="103">
          <cell r="A103" t="str">
            <v>Rajbari</v>
          </cell>
          <cell r="B103">
            <v>39125275.9</v>
          </cell>
          <cell r="C103">
            <v>39118684.45</v>
          </cell>
          <cell r="D103">
            <v>9594335.24</v>
          </cell>
          <cell r="E103">
            <v>8376263.91</v>
          </cell>
        </row>
        <row r="103">
          <cell r="G103">
            <v>74899717.42</v>
          </cell>
        </row>
        <row r="104">
          <cell r="A104" t="str">
            <v>Rajshahi</v>
          </cell>
          <cell r="B104">
            <v>14990510.68</v>
          </cell>
          <cell r="C104">
            <v>68349228.57</v>
          </cell>
          <cell r="D104">
            <v>57331979.76</v>
          </cell>
          <cell r="E104">
            <v>29117649.66</v>
          </cell>
        </row>
        <row r="104">
          <cell r="G104">
            <v>295794041.76</v>
          </cell>
        </row>
        <row r="105">
          <cell r="A105" t="str">
            <v>Rangpur</v>
          </cell>
          <cell r="B105">
            <v>29500458.46</v>
          </cell>
          <cell r="C105">
            <v>30591366.25</v>
          </cell>
          <cell r="D105">
            <v>28138930.69</v>
          </cell>
          <cell r="E105">
            <v>150379989.53</v>
          </cell>
        </row>
        <row r="105">
          <cell r="G105">
            <v>129406236.83</v>
          </cell>
        </row>
        <row r="106">
          <cell r="A106" t="str">
            <v>Sathkhira</v>
          </cell>
          <cell r="B106">
            <v>10264216.93</v>
          </cell>
          <cell r="C106">
            <v>12218540.63</v>
          </cell>
        </row>
        <row r="106">
          <cell r="G106">
            <v>30016588.84</v>
          </cell>
        </row>
        <row r="107">
          <cell r="A107" t="str">
            <v>Savar</v>
          </cell>
          <cell r="B107">
            <v>4844664.77</v>
          </cell>
          <cell r="C107">
            <v>58339471.84</v>
          </cell>
          <cell r="D107">
            <v>78829365.36</v>
          </cell>
          <cell r="E107">
            <v>35113503.38</v>
          </cell>
        </row>
        <row r="107">
          <cell r="G107">
            <v>131850139.03</v>
          </cell>
        </row>
        <row r="108">
          <cell r="A108" t="str">
            <v>Savar-2</v>
          </cell>
          <cell r="B108">
            <v>10515206.07</v>
          </cell>
          <cell r="C108">
            <v>41404879.72</v>
          </cell>
          <cell r="D108">
            <v>49528684.2</v>
          </cell>
          <cell r="E108">
            <v>212477353.93</v>
          </cell>
        </row>
        <row r="108">
          <cell r="G108">
            <v>90633567.67</v>
          </cell>
        </row>
        <row r="109">
          <cell r="A109" t="str">
            <v>Shaheshtagonj</v>
          </cell>
          <cell r="B109">
            <v>152498931.73</v>
          </cell>
        </row>
        <row r="109">
          <cell r="G109">
            <v>30841131.04</v>
          </cell>
        </row>
        <row r="110">
          <cell r="A110" t="str">
            <v>Shambazar</v>
          </cell>
          <cell r="B110">
            <v>2848721.57</v>
          </cell>
          <cell r="C110">
            <v>141782397.67</v>
          </cell>
          <cell r="D110">
            <v>97470445.5</v>
          </cell>
          <cell r="E110">
            <v>86640651.38</v>
          </cell>
        </row>
        <row r="110">
          <cell r="G110">
            <v>344782034.37</v>
          </cell>
        </row>
        <row r="111">
          <cell r="A111" t="str">
            <v>Shariatpur</v>
          </cell>
          <cell r="B111">
            <v>12867777.48</v>
          </cell>
          <cell r="C111">
            <v>51628608.56</v>
          </cell>
          <cell r="D111">
            <v>13839695.89</v>
          </cell>
          <cell r="E111">
            <v>101302329.36</v>
          </cell>
        </row>
        <row r="111">
          <cell r="G111">
            <v>130667169.4</v>
          </cell>
        </row>
        <row r="112">
          <cell r="A112" t="str">
            <v>Sherpur</v>
          </cell>
        </row>
        <row r="112">
          <cell r="C112">
            <v>14067569.85</v>
          </cell>
          <cell r="D112">
            <v>7589278.21</v>
          </cell>
          <cell r="E112">
            <v>8372877.47</v>
          </cell>
        </row>
        <row r="112">
          <cell r="G112">
            <v>75042232.13</v>
          </cell>
        </row>
        <row r="113">
          <cell r="A113" t="str">
            <v>Shiddirgonj</v>
          </cell>
          <cell r="B113">
            <v>7469529.5</v>
          </cell>
          <cell r="C113">
            <v>48859067.12</v>
          </cell>
          <cell r="D113">
            <v>53749183.06</v>
          </cell>
          <cell r="E113">
            <v>12141187.47</v>
          </cell>
        </row>
        <row r="113">
          <cell r="G113">
            <v>209438505.03</v>
          </cell>
        </row>
        <row r="114">
          <cell r="A114" t="str">
            <v>Sirajgonj</v>
          </cell>
          <cell r="B114">
            <v>20760539.44</v>
          </cell>
          <cell r="C114">
            <v>44245050.24</v>
          </cell>
          <cell r="D114">
            <v>88751988.27</v>
          </cell>
        </row>
        <row r="114">
          <cell r="G114">
            <v>144971527.62</v>
          </cell>
        </row>
        <row r="115">
          <cell r="A115" t="str">
            <v>Sonir Akhra</v>
          </cell>
          <cell r="B115">
            <v>1903722.7</v>
          </cell>
          <cell r="C115">
            <v>44528534.35</v>
          </cell>
          <cell r="D115">
            <v>96734376.37</v>
          </cell>
          <cell r="E115">
            <v>92566389.75</v>
          </cell>
        </row>
        <row r="115">
          <cell r="G115">
            <v>139402697.72</v>
          </cell>
        </row>
        <row r="116">
          <cell r="A116" t="str">
            <v>South Surma</v>
          </cell>
          <cell r="B116">
            <v>16685420.74</v>
          </cell>
          <cell r="C116">
            <v>36067669.68</v>
          </cell>
          <cell r="D116">
            <v>22676620.06</v>
          </cell>
        </row>
        <row r="116">
          <cell r="G116">
            <v>39303405.85</v>
          </cell>
        </row>
        <row r="117">
          <cell r="A117" t="str">
            <v>Sreenagar</v>
          </cell>
          <cell r="B117">
            <v>44291445.16</v>
          </cell>
        </row>
        <row r="117">
          <cell r="G117">
            <v>17363335.74</v>
          </cell>
        </row>
        <row r="118">
          <cell r="A118" t="str">
            <v>Sreepur</v>
          </cell>
          <cell r="B118">
            <v>4902759.55</v>
          </cell>
          <cell r="C118">
            <v>76593412.38</v>
          </cell>
          <cell r="D118">
            <v>37992837.48</v>
          </cell>
          <cell r="E118">
            <v>134914290.86</v>
          </cell>
        </row>
        <row r="118">
          <cell r="G118">
            <v>273658222.33</v>
          </cell>
        </row>
        <row r="119">
          <cell r="A119" t="str">
            <v>Swarupkathi</v>
          </cell>
          <cell r="B119">
            <v>36393834.78</v>
          </cell>
          <cell r="C119">
            <v>12042390.47</v>
          </cell>
        </row>
        <row r="119">
          <cell r="G119">
            <v>77415207.6</v>
          </cell>
        </row>
        <row r="120">
          <cell r="A120" t="str">
            <v>Syedpur</v>
          </cell>
          <cell r="B120">
            <v>19809192.72</v>
          </cell>
          <cell r="C120">
            <v>19249523.63</v>
          </cell>
          <cell r="D120">
            <v>15285350.15</v>
          </cell>
          <cell r="E120">
            <v>12757822.11</v>
          </cell>
        </row>
        <row r="120">
          <cell r="G120">
            <v>117777140</v>
          </cell>
        </row>
        <row r="121">
          <cell r="A121" t="str">
            <v>Tangail</v>
          </cell>
          <cell r="B121">
            <v>24550445.91</v>
          </cell>
          <cell r="C121">
            <v>35336393.22</v>
          </cell>
          <cell r="D121">
            <v>51965163.95</v>
          </cell>
          <cell r="E121">
            <v>9154280.98</v>
          </cell>
        </row>
        <row r="121">
          <cell r="G121">
            <v>95759584.32</v>
          </cell>
        </row>
        <row r="122">
          <cell r="A122" t="str">
            <v>Thakurgaon</v>
          </cell>
          <cell r="B122">
            <v>17507899.21</v>
          </cell>
          <cell r="C122">
            <v>25391659.78</v>
          </cell>
          <cell r="D122">
            <v>26752271.27</v>
          </cell>
          <cell r="E122">
            <v>20077658.31</v>
          </cell>
        </row>
        <row r="122">
          <cell r="G122">
            <v>122781482.38</v>
          </cell>
        </row>
        <row r="123">
          <cell r="A123" t="str">
            <v>Tongi</v>
          </cell>
          <cell r="B123">
            <v>14152287.18</v>
          </cell>
          <cell r="C123">
            <v>38211282.42</v>
          </cell>
          <cell r="D123">
            <v>18314780.89</v>
          </cell>
          <cell r="E123">
            <v>98851467.42</v>
          </cell>
        </row>
        <row r="123">
          <cell r="G123">
            <v>195227940.42</v>
          </cell>
        </row>
        <row r="124">
          <cell r="A124" t="str">
            <v>Zinzira</v>
          </cell>
          <cell r="B124">
            <v>18300342.61</v>
          </cell>
          <cell r="C124">
            <v>64729583.32</v>
          </cell>
          <cell r="D124">
            <v>53109349.83</v>
          </cell>
          <cell r="E124">
            <v>8957753.41</v>
          </cell>
        </row>
        <row r="124">
          <cell r="G124">
            <v>112583541.78</v>
          </cell>
        </row>
        <row r="125">
          <cell r="A125" t="str">
            <v>Zurain</v>
          </cell>
        </row>
        <row r="125">
          <cell r="G125">
            <v>6500000</v>
          </cell>
        </row>
      </sheetData>
      <sheetData sheetId="2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erritory &amp; Region"/>
      <sheetName val="Unit wise"/>
      <sheetName val="Area wise"/>
      <sheetName val="Sheet7"/>
      <sheetName val="Sheet9"/>
      <sheetName val="IB_Pivot"/>
      <sheetName val="Ticket Size Wise Details-IB"/>
      <sheetName val="FVL"/>
      <sheetName val="Sheet1"/>
      <sheetName val="Sheet2"/>
      <sheetName val="Sheet3"/>
      <sheetName val="IB"/>
      <sheetName val="Sheet5"/>
      <sheetName val="SB_Ticket Size Wise"/>
      <sheetName val="ticket_pivot"/>
      <sheetName val="Month Wise Details-WR"/>
      <sheetName val="Ticket Size Wise Details-SB"/>
      <sheetName val="NPL"/>
      <sheetName val="PAR"/>
      <sheetName val="Sheet12"/>
      <sheetName val="S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6">
          <cell r="A6" t="str">
            <v>Anderkilla</v>
          </cell>
          <cell r="B6">
            <v>12376854.52</v>
          </cell>
          <cell r="C6">
            <v>11873368.16</v>
          </cell>
          <cell r="D6">
            <v>11597864.39</v>
          </cell>
        </row>
        <row r="7">
          <cell r="A7" t="str">
            <v>Ashulia</v>
          </cell>
          <cell r="B7">
            <v>1850093.09</v>
          </cell>
          <cell r="C7">
            <v>1846730.19</v>
          </cell>
          <cell r="D7">
            <v>1845413.91</v>
          </cell>
        </row>
        <row r="8">
          <cell r="A8" t="str">
            <v>Badda</v>
          </cell>
          <cell r="B8">
            <v>9903095.25</v>
          </cell>
          <cell r="C8">
            <v>9550463.57</v>
          </cell>
          <cell r="D8">
            <v>8209262.2</v>
          </cell>
        </row>
        <row r="9">
          <cell r="A9" t="str">
            <v>Bagerhat</v>
          </cell>
          <cell r="B9">
            <v>7763400.03</v>
          </cell>
          <cell r="C9">
            <v>7380467.93</v>
          </cell>
          <cell r="D9">
            <v>7195434.5</v>
          </cell>
        </row>
        <row r="10">
          <cell r="A10" t="str">
            <v>Baligaon</v>
          </cell>
          <cell r="B10">
            <v>4861988.84</v>
          </cell>
          <cell r="C10">
            <v>4854331.91</v>
          </cell>
          <cell r="D10">
            <v>4849235.25</v>
          </cell>
        </row>
        <row r="11">
          <cell r="A11" t="str">
            <v>Banasree</v>
          </cell>
          <cell r="B11">
            <v>8755906</v>
          </cell>
          <cell r="C11">
            <v>8394281.58</v>
          </cell>
          <cell r="D11">
            <v>8338238.82</v>
          </cell>
        </row>
        <row r="12">
          <cell r="A12" t="str">
            <v>Bancharampur</v>
          </cell>
          <cell r="B12">
            <v>5651854.62</v>
          </cell>
          <cell r="C12">
            <v>5490335.64</v>
          </cell>
          <cell r="D12">
            <v>5425560.99</v>
          </cell>
        </row>
        <row r="13">
          <cell r="A13" t="str">
            <v>Bandartila </v>
          </cell>
          <cell r="B13">
            <v>5366765.21</v>
          </cell>
          <cell r="C13">
            <v>5194819.89</v>
          </cell>
          <cell r="D13">
            <v>5050268.49</v>
          </cell>
        </row>
        <row r="14">
          <cell r="A14" t="str">
            <v>Barguna</v>
          </cell>
          <cell r="B14">
            <v>4364067.35</v>
          </cell>
          <cell r="C14">
            <v>4074406.03</v>
          </cell>
          <cell r="D14">
            <v>4070117.85</v>
          </cell>
        </row>
        <row r="15">
          <cell r="A15" t="str">
            <v>Barishal</v>
          </cell>
          <cell r="B15">
            <v>10254447.8</v>
          </cell>
          <cell r="C15">
            <v>10157745.82</v>
          </cell>
          <cell r="D15">
            <v>9939889.3</v>
          </cell>
        </row>
        <row r="16">
          <cell r="A16" t="str">
            <v>Bhanga</v>
          </cell>
          <cell r="B16">
            <v>12307518.19</v>
          </cell>
          <cell r="C16">
            <v>12244740.13</v>
          </cell>
          <cell r="D16">
            <v>12183699.16</v>
          </cell>
        </row>
        <row r="17">
          <cell r="A17" t="str">
            <v>Bharaib</v>
          </cell>
          <cell r="B17">
            <v>7956885.9</v>
          </cell>
          <cell r="C17">
            <v>7773056.02</v>
          </cell>
          <cell r="D17">
            <v>7620256.09</v>
          </cell>
        </row>
        <row r="18">
          <cell r="A18" t="str">
            <v>Bheramara</v>
          </cell>
          <cell r="B18">
            <v>6733847.1</v>
          </cell>
          <cell r="C18">
            <v>6702533.61</v>
          </cell>
          <cell r="D18">
            <v>6648668.94</v>
          </cell>
        </row>
        <row r="19">
          <cell r="A19" t="str">
            <v>Bhola</v>
          </cell>
          <cell r="B19">
            <v>4265228.32</v>
          </cell>
          <cell r="C19">
            <v>4111553.57</v>
          </cell>
          <cell r="D19">
            <v>4084221.87</v>
          </cell>
        </row>
        <row r="20">
          <cell r="A20" t="str">
            <v>Bhulta</v>
          </cell>
          <cell r="B20">
            <v>6913888.64</v>
          </cell>
          <cell r="C20">
            <v>6753059.96</v>
          </cell>
          <cell r="D20">
            <v>6736930.79</v>
          </cell>
        </row>
        <row r="21">
          <cell r="A21" t="str">
            <v>Bogura</v>
          </cell>
          <cell r="B21">
            <v>11896266.95</v>
          </cell>
          <cell r="C21">
            <v>10476633.54</v>
          </cell>
          <cell r="D21">
            <v>10459625.89</v>
          </cell>
        </row>
        <row r="22">
          <cell r="A22" t="str">
            <v>Brahmanbaria</v>
          </cell>
          <cell r="B22">
            <v>10092741.76</v>
          </cell>
          <cell r="C22">
            <v>9696980.28</v>
          </cell>
          <cell r="D22">
            <v>9371075.73</v>
          </cell>
        </row>
        <row r="23">
          <cell r="A23" t="str">
            <v>C. Nawabganj</v>
          </cell>
          <cell r="B23">
            <v>10241164.54</v>
          </cell>
          <cell r="C23">
            <v>10253483.01</v>
          </cell>
          <cell r="D23">
            <v>10241164.54</v>
          </cell>
        </row>
        <row r="24">
          <cell r="A24" t="str">
            <v>Chandina</v>
          </cell>
          <cell r="B24">
            <v>14849651.45</v>
          </cell>
          <cell r="C24">
            <v>14414314.15</v>
          </cell>
          <cell r="D24">
            <v>14313261.26</v>
          </cell>
        </row>
        <row r="25">
          <cell r="A25" t="str">
            <v>Chauddagram</v>
          </cell>
          <cell r="B25">
            <v>10759227.55</v>
          </cell>
          <cell r="C25">
            <v>10233897.17</v>
          </cell>
          <cell r="D25">
            <v>10226120.52</v>
          </cell>
        </row>
        <row r="26">
          <cell r="A26" t="str">
            <v>Chawk Bazar</v>
          </cell>
          <cell r="B26">
            <v>18554925.84</v>
          </cell>
          <cell r="C26">
            <v>14856540.01</v>
          </cell>
          <cell r="D26">
            <v>14699025.97</v>
          </cell>
        </row>
        <row r="27">
          <cell r="A27" t="str">
            <v>Choumohoni</v>
          </cell>
          <cell r="B27">
            <v>9516615.01</v>
          </cell>
          <cell r="C27">
            <v>8761254.51</v>
          </cell>
          <cell r="D27">
            <v>8371917.07</v>
          </cell>
        </row>
        <row r="28">
          <cell r="A28" t="str">
            <v>Chuadanga</v>
          </cell>
          <cell r="B28">
            <v>12075158.61</v>
          </cell>
          <cell r="C28">
            <v>10739868.56</v>
          </cell>
          <cell r="D28">
            <v>10652971.64</v>
          </cell>
        </row>
        <row r="29">
          <cell r="A29" t="str">
            <v>Comilla East</v>
          </cell>
          <cell r="B29">
            <v>10299570.49</v>
          </cell>
          <cell r="C29">
            <v>10059591.56</v>
          </cell>
          <cell r="D29">
            <v>10050946.89</v>
          </cell>
        </row>
        <row r="30">
          <cell r="A30" t="str">
            <v>Comilla West</v>
          </cell>
          <cell r="B30">
            <v>4976359.97</v>
          </cell>
          <cell r="C30">
            <v>4557708.57</v>
          </cell>
          <cell r="D30">
            <v>4552538.2</v>
          </cell>
        </row>
        <row r="31">
          <cell r="A31" t="str">
            <v>Companygonj</v>
          </cell>
          <cell r="B31">
            <v>11290545.05</v>
          </cell>
          <cell r="C31">
            <v>11248890.24</v>
          </cell>
          <cell r="D31">
            <v>11092244.2</v>
          </cell>
        </row>
        <row r="32">
          <cell r="A32" t="str">
            <v>Cox's Bazar</v>
          </cell>
          <cell r="B32">
            <v>4029100.14</v>
          </cell>
          <cell r="C32">
            <v>3402456.25</v>
          </cell>
          <cell r="D32">
            <v>3399008.65</v>
          </cell>
        </row>
        <row r="33">
          <cell r="A33" t="str">
            <v>Daulatpur</v>
          </cell>
          <cell r="B33">
            <v>9404331.58</v>
          </cell>
          <cell r="C33">
            <v>7950342.08</v>
          </cell>
          <cell r="D33">
            <v>7844592.61</v>
          </cell>
        </row>
        <row r="34">
          <cell r="A34" t="str">
            <v>DEPZ</v>
          </cell>
          <cell r="B34">
            <v>3616050.14</v>
          </cell>
          <cell r="C34">
            <v>3097910.21</v>
          </cell>
          <cell r="D34">
            <v>3081705.58</v>
          </cell>
        </row>
        <row r="35">
          <cell r="A35" t="str">
            <v>Dhamrai</v>
          </cell>
          <cell r="B35">
            <v>3408336.27</v>
          </cell>
          <cell r="C35">
            <v>2991311.9</v>
          </cell>
          <cell r="D35">
            <v>2882358.81</v>
          </cell>
        </row>
        <row r="36">
          <cell r="A36" t="str">
            <v>Dinajpur</v>
          </cell>
          <cell r="B36">
            <v>7000345.2</v>
          </cell>
          <cell r="C36">
            <v>6944800.72</v>
          </cell>
          <cell r="D36">
            <v>6836127.81</v>
          </cell>
        </row>
        <row r="37">
          <cell r="A37" t="str">
            <v>Elephant Road</v>
          </cell>
          <cell r="B37">
            <v>18554968.26</v>
          </cell>
          <cell r="C37">
            <v>10124187.95</v>
          </cell>
          <cell r="D37">
            <v>10003180.86</v>
          </cell>
        </row>
        <row r="38">
          <cell r="A38" t="str">
            <v>Faridpur</v>
          </cell>
          <cell r="B38">
            <v>9477289.56</v>
          </cell>
          <cell r="C38">
            <v>8762651.44</v>
          </cell>
          <cell r="D38">
            <v>8752405.86</v>
          </cell>
        </row>
        <row r="39">
          <cell r="A39" t="str">
            <v>Fatullah</v>
          </cell>
          <cell r="B39">
            <v>6593385.47</v>
          </cell>
          <cell r="C39">
            <v>4837610.24</v>
          </cell>
          <cell r="D39">
            <v>4761570.27</v>
          </cell>
        </row>
        <row r="40">
          <cell r="A40" t="str">
            <v>Feni</v>
          </cell>
          <cell r="B40">
            <v>12517070.51</v>
          </cell>
          <cell r="C40">
            <v>11759295.68</v>
          </cell>
          <cell r="D40">
            <v>11599150.88</v>
          </cell>
        </row>
        <row r="41">
          <cell r="A41" t="str">
            <v>Fulbari</v>
          </cell>
          <cell r="B41">
            <v>3716501.27</v>
          </cell>
          <cell r="C41">
            <v>3703673.76</v>
          </cell>
          <cell r="D41">
            <v>3699303.45</v>
          </cell>
        </row>
        <row r="42">
          <cell r="A42" t="str">
            <v>Gaibandha</v>
          </cell>
          <cell r="B42">
            <v>7162419.9</v>
          </cell>
          <cell r="C42">
            <v>7172699.81</v>
          </cell>
          <cell r="D42">
            <v>7162419.9</v>
          </cell>
        </row>
        <row r="43">
          <cell r="A43" t="str">
            <v>Gazipur</v>
          </cell>
          <cell r="B43">
            <v>9261710.05</v>
          </cell>
          <cell r="C43">
            <v>7442058.11</v>
          </cell>
          <cell r="D43">
            <v>7212263.6</v>
          </cell>
        </row>
        <row r="44">
          <cell r="A44" t="str">
            <v>Ghatail</v>
          </cell>
          <cell r="B44">
            <v>8399126.38</v>
          </cell>
          <cell r="C44">
            <v>9027533.66</v>
          </cell>
          <cell r="D44">
            <v>7981410.11</v>
          </cell>
        </row>
        <row r="45">
          <cell r="A45" t="str">
            <v>Gopalgonj</v>
          </cell>
          <cell r="B45">
            <v>8642789.78</v>
          </cell>
          <cell r="C45">
            <v>8533524.45</v>
          </cell>
          <cell r="D45">
            <v>8525561.18</v>
          </cell>
        </row>
        <row r="46">
          <cell r="A46" t="str">
            <v>Gulistan</v>
          </cell>
          <cell r="B46">
            <v>23462904.95</v>
          </cell>
          <cell r="C46">
            <v>14822786.7</v>
          </cell>
          <cell r="D46">
            <v>14698075.5</v>
          </cell>
        </row>
        <row r="47">
          <cell r="A47" t="str">
            <v>Halishahar</v>
          </cell>
          <cell r="B47">
            <v>6904139.16</v>
          </cell>
          <cell r="C47">
            <v>6600619.08</v>
          </cell>
          <cell r="D47">
            <v>6588262.04</v>
          </cell>
        </row>
        <row r="48">
          <cell r="A48" t="str">
            <v>Hasnabad</v>
          </cell>
          <cell r="B48">
            <v>5640782.82</v>
          </cell>
          <cell r="C48">
            <v>5903182.47</v>
          </cell>
          <cell r="D48">
            <v>5442809.08</v>
          </cell>
        </row>
        <row r="49">
          <cell r="A49" t="str">
            <v>Hathazari</v>
          </cell>
          <cell r="B49">
            <v>10219279.72</v>
          </cell>
          <cell r="C49">
            <v>9302930.47</v>
          </cell>
          <cell r="D49">
            <v>9289969.53</v>
          </cell>
        </row>
        <row r="50">
          <cell r="A50" t="str">
            <v>Hazigonj</v>
          </cell>
          <cell r="B50">
            <v>9766122.60000001</v>
          </cell>
          <cell r="C50">
            <v>9230923.66</v>
          </cell>
          <cell r="D50">
            <v>9124498.23</v>
          </cell>
        </row>
        <row r="51">
          <cell r="A51" t="str">
            <v>Hobigonj</v>
          </cell>
          <cell r="B51">
            <v>9407248.54</v>
          </cell>
          <cell r="C51">
            <v>8974986.62</v>
          </cell>
          <cell r="D51">
            <v>8866265.82</v>
          </cell>
        </row>
        <row r="52">
          <cell r="A52" t="str">
            <v>Imamgonj</v>
          </cell>
          <cell r="B52">
            <v>14997076.27</v>
          </cell>
          <cell r="C52">
            <v>14981308.51</v>
          </cell>
          <cell r="D52">
            <v>14814362.52</v>
          </cell>
        </row>
        <row r="53">
          <cell r="A53" t="str">
            <v>Ishwardi</v>
          </cell>
          <cell r="B53">
            <v>14800069.67</v>
          </cell>
          <cell r="C53">
            <v>12586231.17</v>
          </cell>
          <cell r="D53">
            <v>11966620.99</v>
          </cell>
        </row>
        <row r="54">
          <cell r="A54" t="str">
            <v>Islambagh</v>
          </cell>
          <cell r="B54">
            <v>8520939.37</v>
          </cell>
          <cell r="C54">
            <v>8526111.9</v>
          </cell>
          <cell r="D54">
            <v>8520939.37</v>
          </cell>
        </row>
        <row r="55">
          <cell r="A55" t="str">
            <v>Islampur Road</v>
          </cell>
          <cell r="B55">
            <v>39647415.4</v>
          </cell>
          <cell r="C55">
            <v>27760178.91</v>
          </cell>
          <cell r="D55">
            <v>27700488.02</v>
          </cell>
        </row>
        <row r="56">
          <cell r="A56" t="str">
            <v>Jamalpur</v>
          </cell>
          <cell r="B56">
            <v>1433122.81</v>
          </cell>
          <cell r="C56">
            <v>1435101.42</v>
          </cell>
          <cell r="D56">
            <v>1433122.81</v>
          </cell>
        </row>
        <row r="57">
          <cell r="A57" t="str">
            <v>Jatrabari</v>
          </cell>
          <cell r="B57">
            <v>13612680.32</v>
          </cell>
          <cell r="C57">
            <v>11764222.11</v>
          </cell>
          <cell r="D57">
            <v>11748981.84</v>
          </cell>
        </row>
        <row r="58">
          <cell r="A58" t="str">
            <v>Jessore</v>
          </cell>
          <cell r="B58">
            <v>15158893</v>
          </cell>
          <cell r="C58">
            <v>14213793.16</v>
          </cell>
          <cell r="D58">
            <v>14203383.26</v>
          </cell>
        </row>
        <row r="59">
          <cell r="A59" t="str">
            <v>Jhenaidah</v>
          </cell>
          <cell r="B59">
            <v>9837487.38</v>
          </cell>
          <cell r="C59">
            <v>9881894.9</v>
          </cell>
          <cell r="D59">
            <v>9837487.38</v>
          </cell>
        </row>
        <row r="60">
          <cell r="A60" t="str">
            <v>Jikorgacha</v>
          </cell>
          <cell r="B60">
            <v>9490990.12</v>
          </cell>
          <cell r="C60">
            <v>9199436.56</v>
          </cell>
          <cell r="D60">
            <v>9161504.78</v>
          </cell>
        </row>
        <row r="61">
          <cell r="A61" t="str">
            <v>Joydebpur</v>
          </cell>
          <cell r="B61">
            <v>8711275.45</v>
          </cell>
          <cell r="C61">
            <v>8197988.33</v>
          </cell>
          <cell r="D61">
            <v>8080969.07</v>
          </cell>
        </row>
        <row r="62">
          <cell r="A62" t="str">
            <v>Joypurhat</v>
          </cell>
          <cell r="B62">
            <v>5445396.81</v>
          </cell>
          <cell r="C62">
            <v>5446921.24</v>
          </cell>
          <cell r="D62">
            <v>5443344.71</v>
          </cell>
        </row>
        <row r="63">
          <cell r="A63" t="str">
            <v>Kadamtali</v>
          </cell>
          <cell r="B63">
            <v>7150445.51</v>
          </cell>
          <cell r="C63">
            <v>6285083</v>
          </cell>
          <cell r="D63">
            <v>6188591.92</v>
          </cell>
        </row>
        <row r="64">
          <cell r="A64" t="str">
            <v>Kalurghat</v>
          </cell>
          <cell r="B64">
            <v>7296856.11</v>
          </cell>
          <cell r="C64">
            <v>7308220.6</v>
          </cell>
          <cell r="D64">
            <v>7296856.11</v>
          </cell>
        </row>
        <row r="65">
          <cell r="A65" t="str">
            <v>Kamrangirchar</v>
          </cell>
          <cell r="B65">
            <v>12797645.97</v>
          </cell>
          <cell r="C65">
            <v>10380049.09</v>
          </cell>
          <cell r="D65">
            <v>10370874.03</v>
          </cell>
        </row>
        <row r="66">
          <cell r="A66" t="str">
            <v>Kazipara</v>
          </cell>
          <cell r="B66">
            <v>7552658.77</v>
          </cell>
          <cell r="C66">
            <v>7024015.75</v>
          </cell>
          <cell r="D66">
            <v>6982924.58</v>
          </cell>
        </row>
        <row r="67">
          <cell r="A67" t="str">
            <v>Keranigonj</v>
          </cell>
          <cell r="B67">
            <v>25224951.44</v>
          </cell>
          <cell r="C67">
            <v>13806909.64</v>
          </cell>
          <cell r="D67">
            <v>13655770.66</v>
          </cell>
        </row>
        <row r="68">
          <cell r="A68" t="str">
            <v>Keshobpur</v>
          </cell>
          <cell r="B68">
            <v>19663739.29</v>
          </cell>
          <cell r="C68">
            <v>18265496.1</v>
          </cell>
          <cell r="D68">
            <v>18215547.14</v>
          </cell>
        </row>
        <row r="69">
          <cell r="A69" t="str">
            <v>Khatungonj</v>
          </cell>
          <cell r="B69">
            <v>11343313.35</v>
          </cell>
          <cell r="C69">
            <v>10293327.57</v>
          </cell>
          <cell r="D69">
            <v>10157367.53</v>
          </cell>
        </row>
        <row r="70">
          <cell r="A70" t="str">
            <v>Khulna</v>
          </cell>
          <cell r="B70">
            <v>18517238.88</v>
          </cell>
          <cell r="C70">
            <v>14433297.68</v>
          </cell>
          <cell r="D70">
            <v>14422322.47</v>
          </cell>
        </row>
        <row r="71">
          <cell r="A71" t="str">
            <v>Konabari</v>
          </cell>
          <cell r="B71">
            <v>8433080.01</v>
          </cell>
          <cell r="C71">
            <v>7481231.42</v>
          </cell>
          <cell r="D71">
            <v>7471954.63</v>
          </cell>
        </row>
        <row r="72">
          <cell r="A72" t="str">
            <v>Kosba</v>
          </cell>
          <cell r="B72">
            <v>12360344.1</v>
          </cell>
          <cell r="C72">
            <v>11705255.03</v>
          </cell>
          <cell r="D72">
            <v>11559685.39</v>
          </cell>
        </row>
        <row r="73">
          <cell r="A73" t="str">
            <v>Kotiadi</v>
          </cell>
          <cell r="B73">
            <v>9931079.89</v>
          </cell>
          <cell r="C73">
            <v>9445165.04</v>
          </cell>
          <cell r="D73">
            <v>9432635.96</v>
          </cell>
        </row>
        <row r="74">
          <cell r="A74" t="str">
            <v>Kulaura </v>
          </cell>
          <cell r="B74">
            <v>6903213.65</v>
          </cell>
          <cell r="C74">
            <v>6769771.27999999</v>
          </cell>
          <cell r="D74">
            <v>6764505.33</v>
          </cell>
        </row>
        <row r="75">
          <cell r="A75" t="str">
            <v>Kurigram</v>
          </cell>
          <cell r="B75">
            <v>9377233.99</v>
          </cell>
          <cell r="C75">
            <v>9603079.88</v>
          </cell>
          <cell r="D75">
            <v>9333107.64</v>
          </cell>
        </row>
        <row r="76">
          <cell r="A76" t="str">
            <v>Kushtia</v>
          </cell>
          <cell r="B76">
            <v>6973090.21</v>
          </cell>
          <cell r="C76">
            <v>6741795.56</v>
          </cell>
          <cell r="D76">
            <v>6733222.29</v>
          </cell>
        </row>
        <row r="77">
          <cell r="A77" t="str">
            <v>Laksham</v>
          </cell>
          <cell r="B77">
            <v>6764340.88</v>
          </cell>
          <cell r="C77">
            <v>6286688.66</v>
          </cell>
          <cell r="D77">
            <v>6214636.02</v>
          </cell>
        </row>
        <row r="78">
          <cell r="A78" t="str">
            <v>Laxmipur</v>
          </cell>
          <cell r="B78">
            <v>6321743.51</v>
          </cell>
          <cell r="C78">
            <v>5795695.33</v>
          </cell>
          <cell r="D78">
            <v>5768137.04</v>
          </cell>
        </row>
        <row r="79">
          <cell r="A79" t="str">
            <v>Lohagora, CTG</v>
          </cell>
          <cell r="B79">
            <v>7785106.56</v>
          </cell>
          <cell r="C79">
            <v>7346624.76</v>
          </cell>
          <cell r="D79">
            <v>7313718.87</v>
          </cell>
        </row>
        <row r="80">
          <cell r="A80" t="str">
            <v>Madhabpur</v>
          </cell>
          <cell r="B80">
            <v>14031401.09</v>
          </cell>
          <cell r="C80">
            <v>13489571.9</v>
          </cell>
          <cell r="D80">
            <v>13296662.89</v>
          </cell>
        </row>
        <row r="81">
          <cell r="A81" t="str">
            <v>Magura</v>
          </cell>
          <cell r="B81">
            <v>5765055.12</v>
          </cell>
          <cell r="C81">
            <v>7314246.1</v>
          </cell>
          <cell r="D81">
            <v>5759175.62</v>
          </cell>
        </row>
        <row r="82">
          <cell r="A82" t="str">
            <v>Maijdee</v>
          </cell>
          <cell r="B82">
            <v>9175276.59</v>
          </cell>
          <cell r="C82">
            <v>10754111.7</v>
          </cell>
          <cell r="D82">
            <v>8376677.15</v>
          </cell>
        </row>
        <row r="83">
          <cell r="A83" t="str">
            <v>Manikgonj</v>
          </cell>
          <cell r="B83">
            <v>3204197.45</v>
          </cell>
          <cell r="C83">
            <v>3243793.21</v>
          </cell>
          <cell r="D83">
            <v>3070081.24</v>
          </cell>
        </row>
        <row r="84">
          <cell r="A84" t="str">
            <v>Mirpur</v>
          </cell>
          <cell r="B84">
            <v>17178613.75</v>
          </cell>
          <cell r="C84">
            <v>15406048.57</v>
          </cell>
          <cell r="D84">
            <v>15331026.13</v>
          </cell>
        </row>
        <row r="85">
          <cell r="A85" t="str">
            <v>Moghbazar</v>
          </cell>
          <cell r="B85">
            <v>9783047.67</v>
          </cell>
          <cell r="C85">
            <v>6113427.73</v>
          </cell>
          <cell r="D85">
            <v>6017423.43</v>
          </cell>
        </row>
        <row r="86">
          <cell r="A86" t="str">
            <v>Mohammadpur</v>
          </cell>
          <cell r="B86">
            <v>8792359.42</v>
          </cell>
          <cell r="C86">
            <v>7926715.33</v>
          </cell>
          <cell r="D86">
            <v>7920275.4</v>
          </cell>
        </row>
        <row r="87">
          <cell r="A87" t="str">
            <v>Mymensingh</v>
          </cell>
          <cell r="B87">
            <v>16216590.32</v>
          </cell>
          <cell r="C87">
            <v>15546262.7</v>
          </cell>
          <cell r="D87">
            <v>14887001.69</v>
          </cell>
        </row>
        <row r="88">
          <cell r="A88" t="str">
            <v>Nangolkot</v>
          </cell>
          <cell r="B88">
            <v>11921261.07</v>
          </cell>
          <cell r="C88">
            <v>11641972.3</v>
          </cell>
          <cell r="D88">
            <v>11572316.8</v>
          </cell>
        </row>
        <row r="89">
          <cell r="A89" t="str">
            <v>Naogaon</v>
          </cell>
          <cell r="B89">
            <v>9335334.31</v>
          </cell>
          <cell r="C89">
            <v>8846181.85</v>
          </cell>
          <cell r="D89">
            <v>8838621.39</v>
          </cell>
        </row>
        <row r="90">
          <cell r="A90" t="str">
            <v>Narail</v>
          </cell>
          <cell r="B90">
            <v>7573943.55</v>
          </cell>
          <cell r="C90">
            <v>7303163.14</v>
          </cell>
          <cell r="D90">
            <v>7293464.51</v>
          </cell>
        </row>
        <row r="91">
          <cell r="A91" t="str">
            <v>Narayangonj</v>
          </cell>
          <cell r="B91">
            <v>19464762.37</v>
          </cell>
          <cell r="C91">
            <v>11558700.58</v>
          </cell>
          <cell r="D91">
            <v>11474189.93</v>
          </cell>
        </row>
        <row r="92">
          <cell r="A92" t="str">
            <v>Narsingdi</v>
          </cell>
          <cell r="B92">
            <v>16864351.52</v>
          </cell>
          <cell r="C92">
            <v>16589467.4</v>
          </cell>
          <cell r="D92">
            <v>16434976.66</v>
          </cell>
        </row>
        <row r="93">
          <cell r="A93" t="str">
            <v>Nawabgonj</v>
          </cell>
          <cell r="B93">
            <v>9916197.13</v>
          </cell>
          <cell r="C93">
            <v>9576352.81</v>
          </cell>
          <cell r="D93">
            <v>9543675.21</v>
          </cell>
        </row>
        <row r="94">
          <cell r="A94" t="str">
            <v>Nawabpur</v>
          </cell>
          <cell r="B94">
            <v>12082543.96</v>
          </cell>
          <cell r="C94">
            <v>10280113.47</v>
          </cell>
          <cell r="D94">
            <v>10270351.08</v>
          </cell>
        </row>
        <row r="95">
          <cell r="A95" t="str">
            <v>Nondon Kanon</v>
          </cell>
          <cell r="B95">
            <v>9109083.11</v>
          </cell>
          <cell r="C95">
            <v>8705123.96</v>
          </cell>
          <cell r="D95">
            <v>8566503.24</v>
          </cell>
        </row>
        <row r="96">
          <cell r="A96" t="str">
            <v>Pabna</v>
          </cell>
          <cell r="B96">
            <v>17282532.29</v>
          </cell>
          <cell r="C96">
            <v>16894326.79</v>
          </cell>
          <cell r="D96">
            <v>16363533.71</v>
          </cell>
        </row>
        <row r="97">
          <cell r="A97" t="str">
            <v>Pahartali</v>
          </cell>
          <cell r="B97">
            <v>10740988.54</v>
          </cell>
          <cell r="C97">
            <v>9997755.61</v>
          </cell>
          <cell r="D97">
            <v>9919827.23</v>
          </cell>
        </row>
        <row r="98">
          <cell r="A98" t="str">
            <v>Panchaghar</v>
          </cell>
          <cell r="B98">
            <v>5969231.45</v>
          </cell>
          <cell r="C98">
            <v>5858945.21</v>
          </cell>
          <cell r="D98">
            <v>5838480.71</v>
          </cell>
        </row>
        <row r="99">
          <cell r="A99" t="str">
            <v>Patuakhali</v>
          </cell>
          <cell r="B99">
            <v>12544355.8</v>
          </cell>
          <cell r="C99">
            <v>9901771.39</v>
          </cell>
          <cell r="D99">
            <v>9812855.86</v>
          </cell>
        </row>
        <row r="100">
          <cell r="A100" t="str">
            <v>Potiya</v>
          </cell>
          <cell r="B100">
            <v>5829358.03</v>
          </cell>
          <cell r="C100">
            <v>5375278.76</v>
          </cell>
          <cell r="D100">
            <v>5320760.72</v>
          </cell>
        </row>
        <row r="101">
          <cell r="A101" t="str">
            <v>Rajbari</v>
          </cell>
          <cell r="B101">
            <v>6027729.24</v>
          </cell>
          <cell r="C101">
            <v>5956675.87</v>
          </cell>
          <cell r="D101">
            <v>5948935.89</v>
          </cell>
        </row>
        <row r="102">
          <cell r="A102" t="str">
            <v>Rajshahi</v>
          </cell>
          <cell r="B102">
            <v>17142854.27</v>
          </cell>
          <cell r="C102">
            <v>16528715.76</v>
          </cell>
          <cell r="D102">
            <v>16447614.04</v>
          </cell>
        </row>
        <row r="103">
          <cell r="A103" t="str">
            <v>Rangpur</v>
          </cell>
          <cell r="B103">
            <v>11995969.17</v>
          </cell>
          <cell r="C103">
            <v>11546109.64</v>
          </cell>
          <cell r="D103">
            <v>11465087.33</v>
          </cell>
        </row>
        <row r="104">
          <cell r="A104" t="str">
            <v>Sathkhira</v>
          </cell>
          <cell r="B104">
            <v>3623946.28</v>
          </cell>
          <cell r="C104">
            <v>3627751.74</v>
          </cell>
          <cell r="D104">
            <v>3623946.28</v>
          </cell>
        </row>
        <row r="105">
          <cell r="A105" t="str">
            <v>Savar</v>
          </cell>
          <cell r="B105">
            <v>5469028.62</v>
          </cell>
          <cell r="C105">
            <v>4369793.33</v>
          </cell>
          <cell r="D105">
            <v>4307015.8</v>
          </cell>
        </row>
        <row r="106">
          <cell r="A106" t="str">
            <v>Savar-2</v>
          </cell>
          <cell r="B106">
            <v>5732981.61</v>
          </cell>
          <cell r="C106">
            <v>5282280.71</v>
          </cell>
          <cell r="D106">
            <v>5260491.73</v>
          </cell>
        </row>
        <row r="107">
          <cell r="A107" t="str">
            <v>Shaheshtagonj</v>
          </cell>
          <cell r="B107">
            <v>13148521.91</v>
          </cell>
          <cell r="C107">
            <v>11865166.54</v>
          </cell>
          <cell r="D107">
            <v>11800439.46</v>
          </cell>
        </row>
        <row r="108">
          <cell r="A108" t="str">
            <v>Shambazar</v>
          </cell>
          <cell r="B108">
            <v>38642633.14</v>
          </cell>
          <cell r="C108">
            <v>21336815.57</v>
          </cell>
          <cell r="D108">
            <v>21313868.48</v>
          </cell>
        </row>
        <row r="109">
          <cell r="A109" t="str">
            <v>Shariatpur</v>
          </cell>
          <cell r="B109">
            <v>10790109.77</v>
          </cell>
          <cell r="C109">
            <v>10806540.45</v>
          </cell>
          <cell r="D109">
            <v>10789363.09</v>
          </cell>
        </row>
        <row r="110">
          <cell r="A110" t="str">
            <v>Sherpur</v>
          </cell>
          <cell r="B110">
            <v>4891133.34</v>
          </cell>
          <cell r="C110">
            <v>4719340.55</v>
          </cell>
          <cell r="D110">
            <v>4711771.66</v>
          </cell>
        </row>
        <row r="111">
          <cell r="A111" t="str">
            <v>Shiddirgonj</v>
          </cell>
          <cell r="B111">
            <v>9414048.63</v>
          </cell>
          <cell r="C111">
            <v>9429382.41</v>
          </cell>
          <cell r="D111">
            <v>9414048.63</v>
          </cell>
        </row>
        <row r="112">
          <cell r="A112" t="str">
            <v>Sirajgonj</v>
          </cell>
          <cell r="B112">
            <v>10076864.28</v>
          </cell>
          <cell r="C112">
            <v>10143794.43</v>
          </cell>
          <cell r="D112">
            <v>10054332.94</v>
          </cell>
        </row>
        <row r="113">
          <cell r="A113" t="str">
            <v>Sonir Akhra</v>
          </cell>
          <cell r="B113">
            <v>6221769.09</v>
          </cell>
          <cell r="C113">
            <v>5975413.22</v>
          </cell>
          <cell r="D113">
            <v>5969090.73</v>
          </cell>
        </row>
        <row r="114">
          <cell r="A114" t="str">
            <v>South Surma</v>
          </cell>
          <cell r="B114">
            <v>4566046.43</v>
          </cell>
          <cell r="C114">
            <v>3586469.67</v>
          </cell>
          <cell r="D114">
            <v>3495458.72</v>
          </cell>
        </row>
        <row r="115">
          <cell r="A115" t="str">
            <v>Sreenagar</v>
          </cell>
          <cell r="B115">
            <v>6401684.34</v>
          </cell>
          <cell r="C115">
            <v>6288205.81</v>
          </cell>
          <cell r="D115">
            <v>6256898.12</v>
          </cell>
        </row>
        <row r="116">
          <cell r="A116" t="str">
            <v>Sreepur</v>
          </cell>
          <cell r="B116">
            <v>8503536.36</v>
          </cell>
          <cell r="C116">
            <v>8480755.77</v>
          </cell>
          <cell r="D116">
            <v>8463571.88</v>
          </cell>
        </row>
        <row r="117">
          <cell r="A117" t="str">
            <v>Swarupkathi</v>
          </cell>
          <cell r="B117">
            <v>5747868.53</v>
          </cell>
          <cell r="C117">
            <v>4769688.34</v>
          </cell>
          <cell r="D117">
            <v>4551741.48</v>
          </cell>
        </row>
        <row r="118">
          <cell r="A118" t="str">
            <v>Syedpur</v>
          </cell>
          <cell r="B118">
            <v>7761886.86</v>
          </cell>
          <cell r="C118">
            <v>7695017.76</v>
          </cell>
          <cell r="D118">
            <v>7687465.09</v>
          </cell>
        </row>
        <row r="119">
          <cell r="A119" t="str">
            <v>Tangail</v>
          </cell>
          <cell r="B119">
            <v>7620853.59</v>
          </cell>
          <cell r="C119">
            <v>7826171.81</v>
          </cell>
          <cell r="D119">
            <v>7250523.86</v>
          </cell>
        </row>
        <row r="120">
          <cell r="A120" t="str">
            <v>Thakurgaon</v>
          </cell>
          <cell r="B120">
            <v>7811575.16</v>
          </cell>
          <cell r="C120">
            <v>7187264.33</v>
          </cell>
          <cell r="D120">
            <v>7156068.74</v>
          </cell>
        </row>
        <row r="121">
          <cell r="A121" t="str">
            <v>Tongi</v>
          </cell>
          <cell r="B121">
            <v>8073871.34</v>
          </cell>
          <cell r="C121">
            <v>8088568.36</v>
          </cell>
          <cell r="D121">
            <v>7374439.69</v>
          </cell>
        </row>
        <row r="122">
          <cell r="A122" t="str">
            <v>Zinzira</v>
          </cell>
          <cell r="B122">
            <v>20683377.61</v>
          </cell>
          <cell r="C122">
            <v>11103354.88</v>
          </cell>
          <cell r="D122">
            <v>11097658.01</v>
          </cell>
        </row>
        <row r="123">
          <cell r="A123" t="str">
            <v>Grand Total</v>
          </cell>
          <cell r="B123">
            <v>1209548469.96</v>
          </cell>
          <cell r="C123">
            <v>1071852695.73</v>
          </cell>
          <cell r="D123">
            <v>1054327285.72</v>
          </cell>
        </row>
      </sheetData>
      <sheetData sheetId="15"/>
      <sheetData sheetId="16"/>
      <sheetData sheetId="17">
        <row r="4">
          <cell r="A4" t="str">
            <v>Row Labels</v>
          </cell>
          <cell r="B4" t="str">
            <v>Sum of Balance (Cal)</v>
          </cell>
          <cell r="C4" t="str">
            <v>Count of PAR/NPL</v>
          </cell>
        </row>
        <row r="5">
          <cell r="A5" t="str">
            <v>Agailjhara</v>
          </cell>
          <cell r="B5">
            <v>1821800.82</v>
          </cell>
          <cell r="C5">
            <v>2</v>
          </cell>
        </row>
        <row r="6">
          <cell r="A6" t="str">
            <v>Bogura</v>
          </cell>
          <cell r="B6">
            <v>1282294.74</v>
          </cell>
          <cell r="C6">
            <v>1</v>
          </cell>
        </row>
        <row r="7">
          <cell r="A7" t="str">
            <v>Chawk Bazar</v>
          </cell>
          <cell r="B7">
            <v>2356767.96</v>
          </cell>
          <cell r="C7">
            <v>1</v>
          </cell>
        </row>
        <row r="8">
          <cell r="A8" t="str">
            <v>Chuadanga</v>
          </cell>
          <cell r="B8">
            <v>635150.73</v>
          </cell>
          <cell r="C8">
            <v>1</v>
          </cell>
        </row>
        <row r="9">
          <cell r="A9" t="str">
            <v>Daulatpur</v>
          </cell>
          <cell r="B9">
            <v>1585889.27</v>
          </cell>
          <cell r="C9">
            <v>1</v>
          </cell>
        </row>
        <row r="10">
          <cell r="A10" t="str">
            <v>Hazigonj</v>
          </cell>
          <cell r="B10">
            <v>1264623.61</v>
          </cell>
          <cell r="C10">
            <v>1</v>
          </cell>
        </row>
        <row r="11">
          <cell r="A11" t="str">
            <v>Hobigonj</v>
          </cell>
          <cell r="B11">
            <v>521856.35</v>
          </cell>
          <cell r="C11">
            <v>1</v>
          </cell>
        </row>
        <row r="12">
          <cell r="A12" t="str">
            <v>Ishwardi</v>
          </cell>
          <cell r="B12">
            <v>12789704.92</v>
          </cell>
          <cell r="C12">
            <v>1</v>
          </cell>
        </row>
        <row r="13">
          <cell r="A13" t="str">
            <v>Islampur Road</v>
          </cell>
          <cell r="B13">
            <v>3992796.94</v>
          </cell>
          <cell r="C13">
            <v>1</v>
          </cell>
        </row>
        <row r="14">
          <cell r="A14" t="str">
            <v>Kadamtali</v>
          </cell>
          <cell r="B14">
            <v>1277234.15</v>
          </cell>
          <cell r="C14">
            <v>1</v>
          </cell>
        </row>
        <row r="15">
          <cell r="A15" t="str">
            <v>Kotiadi</v>
          </cell>
          <cell r="B15">
            <v>363532.41</v>
          </cell>
          <cell r="C15">
            <v>1</v>
          </cell>
        </row>
        <row r="16">
          <cell r="A16" t="str">
            <v>Maijdee</v>
          </cell>
          <cell r="B16">
            <v>720916.59</v>
          </cell>
          <cell r="C16">
            <v>1</v>
          </cell>
        </row>
        <row r="17">
          <cell r="A17" t="str">
            <v>Narail</v>
          </cell>
          <cell r="B17">
            <v>205504.01</v>
          </cell>
          <cell r="C17">
            <v>1</v>
          </cell>
        </row>
        <row r="18">
          <cell r="A18" t="str">
            <v>Patuakhali</v>
          </cell>
          <cell r="B18">
            <v>608455.53</v>
          </cell>
          <cell r="C18">
            <v>1</v>
          </cell>
        </row>
        <row r="19">
          <cell r="A19" t="str">
            <v>Savar</v>
          </cell>
          <cell r="B19">
            <v>1385551.84</v>
          </cell>
          <cell r="C19">
            <v>1</v>
          </cell>
        </row>
        <row r="20">
          <cell r="A20" t="str">
            <v>Shaheshtagonj</v>
          </cell>
          <cell r="B20">
            <v>2386120.18</v>
          </cell>
          <cell r="C20">
            <v>1</v>
          </cell>
        </row>
        <row r="21">
          <cell r="A21" t="str">
            <v>South Surma</v>
          </cell>
          <cell r="B21">
            <v>1473758.34</v>
          </cell>
          <cell r="C21">
            <v>1</v>
          </cell>
        </row>
        <row r="22">
          <cell r="A22" t="str">
            <v>Grand Total</v>
          </cell>
          <cell r="B22">
            <v>34671958.39</v>
          </cell>
          <cell r="C22">
            <v>18</v>
          </cell>
        </row>
      </sheetData>
      <sheetData sheetId="18">
        <row r="5">
          <cell r="A5" t="str">
            <v>Agailjhara</v>
          </cell>
          <cell r="B5">
            <v>1821800.82</v>
          </cell>
          <cell r="C5">
            <v>2</v>
          </cell>
        </row>
        <row r="6">
          <cell r="A6" t="str">
            <v>Ambarkhana</v>
          </cell>
          <cell r="B6">
            <v>779349.74</v>
          </cell>
          <cell r="C6">
            <v>1</v>
          </cell>
        </row>
        <row r="7">
          <cell r="A7" t="str">
            <v>Anderkilla</v>
          </cell>
          <cell r="B7">
            <v>1723075.75</v>
          </cell>
          <cell r="C7">
            <v>1</v>
          </cell>
        </row>
        <row r="8">
          <cell r="A8" t="str">
            <v>Badda</v>
          </cell>
          <cell r="B8">
            <v>847652</v>
          </cell>
          <cell r="C8">
            <v>1</v>
          </cell>
        </row>
        <row r="9">
          <cell r="A9" t="str">
            <v>Bagerhat</v>
          </cell>
          <cell r="B9">
            <v>607392.84</v>
          </cell>
          <cell r="C9">
            <v>1</v>
          </cell>
        </row>
        <row r="10">
          <cell r="A10" t="str">
            <v>Banasree</v>
          </cell>
          <cell r="B10">
            <v>909654.32</v>
          </cell>
          <cell r="C10">
            <v>1</v>
          </cell>
        </row>
        <row r="11">
          <cell r="A11" t="str">
            <v>Bancharampur</v>
          </cell>
          <cell r="B11">
            <v>1205946.76</v>
          </cell>
          <cell r="C11">
            <v>2</v>
          </cell>
        </row>
        <row r="12">
          <cell r="A12" t="str">
            <v>Barishal</v>
          </cell>
          <cell r="B12">
            <v>905925.4</v>
          </cell>
          <cell r="C12">
            <v>1</v>
          </cell>
        </row>
        <row r="13">
          <cell r="A13" t="str">
            <v>Bhanga</v>
          </cell>
          <cell r="B13">
            <v>644738</v>
          </cell>
          <cell r="C13">
            <v>1</v>
          </cell>
        </row>
        <row r="14">
          <cell r="A14" t="str">
            <v>Bheramara</v>
          </cell>
          <cell r="B14">
            <v>423272.47</v>
          </cell>
          <cell r="C14">
            <v>1</v>
          </cell>
        </row>
        <row r="15">
          <cell r="A15" t="str">
            <v>Bhola</v>
          </cell>
          <cell r="B15">
            <v>437405.22</v>
          </cell>
          <cell r="C15">
            <v>1</v>
          </cell>
        </row>
        <row r="16">
          <cell r="A16" t="str">
            <v>Bogura</v>
          </cell>
          <cell r="B16">
            <v>2411220.88</v>
          </cell>
          <cell r="C16">
            <v>2</v>
          </cell>
        </row>
        <row r="17">
          <cell r="A17" t="str">
            <v>Brahmanbaria</v>
          </cell>
          <cell r="B17">
            <v>927385.94</v>
          </cell>
          <cell r="C17">
            <v>1</v>
          </cell>
        </row>
        <row r="18">
          <cell r="A18" t="str">
            <v>Chawk Bazar</v>
          </cell>
          <cell r="B18">
            <v>2356767.96</v>
          </cell>
          <cell r="C18">
            <v>1</v>
          </cell>
        </row>
        <row r="19">
          <cell r="A19" t="str">
            <v>Choumohoni</v>
          </cell>
          <cell r="B19">
            <v>2257986.78</v>
          </cell>
          <cell r="C19">
            <v>1</v>
          </cell>
        </row>
        <row r="20">
          <cell r="A20" t="str">
            <v>Chuadanga</v>
          </cell>
          <cell r="B20">
            <v>635150.73</v>
          </cell>
          <cell r="C20">
            <v>1</v>
          </cell>
        </row>
        <row r="21">
          <cell r="A21" t="str">
            <v>Comilla West</v>
          </cell>
          <cell r="B21">
            <v>647716.9</v>
          </cell>
          <cell r="C21">
            <v>1</v>
          </cell>
        </row>
        <row r="22">
          <cell r="A22" t="str">
            <v>Companygonj</v>
          </cell>
          <cell r="B22">
            <v>811084.44</v>
          </cell>
          <cell r="C22">
            <v>1</v>
          </cell>
        </row>
        <row r="23">
          <cell r="A23" t="str">
            <v>Cox's Bazar</v>
          </cell>
          <cell r="B23">
            <v>4167931.62</v>
          </cell>
          <cell r="C23">
            <v>2</v>
          </cell>
        </row>
        <row r="24">
          <cell r="A24" t="str">
            <v>Daulatpur</v>
          </cell>
          <cell r="B24">
            <v>4137533.81</v>
          </cell>
          <cell r="C24">
            <v>2</v>
          </cell>
        </row>
        <row r="25">
          <cell r="A25" t="str">
            <v>DEPZ</v>
          </cell>
          <cell r="B25">
            <v>2421306.39</v>
          </cell>
          <cell r="C25">
            <v>1</v>
          </cell>
        </row>
        <row r="26">
          <cell r="A26" t="str">
            <v>Dhamrai</v>
          </cell>
          <cell r="B26">
            <v>598875.2</v>
          </cell>
          <cell r="C26">
            <v>1</v>
          </cell>
        </row>
        <row r="27">
          <cell r="A27" t="str">
            <v>Dinajpur</v>
          </cell>
          <cell r="B27">
            <v>487136.82</v>
          </cell>
          <cell r="C27">
            <v>1</v>
          </cell>
        </row>
        <row r="28">
          <cell r="A28" t="str">
            <v>Elephant Road</v>
          </cell>
          <cell r="B28">
            <v>2364944.8</v>
          </cell>
          <cell r="C28">
            <v>1</v>
          </cell>
        </row>
        <row r="29">
          <cell r="A29" t="str">
            <v>Faridpur</v>
          </cell>
          <cell r="B29">
            <v>4657566.4</v>
          </cell>
          <cell r="C29">
            <v>2</v>
          </cell>
        </row>
        <row r="30">
          <cell r="A30" t="str">
            <v>Fatullah</v>
          </cell>
          <cell r="B30">
            <v>1701747.29</v>
          </cell>
          <cell r="C30">
            <v>2</v>
          </cell>
        </row>
        <row r="31">
          <cell r="A31" t="str">
            <v>Gazipur</v>
          </cell>
          <cell r="B31">
            <v>8170953.46</v>
          </cell>
          <cell r="C31">
            <v>5</v>
          </cell>
        </row>
        <row r="32">
          <cell r="A32" t="str">
            <v>Ghatail</v>
          </cell>
          <cell r="B32">
            <v>826917.25</v>
          </cell>
          <cell r="C32">
            <v>1</v>
          </cell>
        </row>
        <row r="33">
          <cell r="A33" t="str">
            <v>Gulistan</v>
          </cell>
          <cell r="B33">
            <v>1464195.41</v>
          </cell>
          <cell r="C33">
            <v>1</v>
          </cell>
        </row>
        <row r="34">
          <cell r="A34" t="str">
            <v>Hasnabad</v>
          </cell>
          <cell r="B34">
            <v>1300374.72</v>
          </cell>
          <cell r="C34">
            <v>1</v>
          </cell>
        </row>
        <row r="35">
          <cell r="A35" t="str">
            <v>Hathazari</v>
          </cell>
          <cell r="B35">
            <v>5290379.67</v>
          </cell>
          <cell r="C35">
            <v>3</v>
          </cell>
        </row>
        <row r="36">
          <cell r="A36" t="str">
            <v>Hazigonj</v>
          </cell>
          <cell r="B36">
            <v>1264623.61</v>
          </cell>
          <cell r="C36">
            <v>1</v>
          </cell>
        </row>
        <row r="37">
          <cell r="A37" t="str">
            <v>Hobigonj</v>
          </cell>
          <cell r="B37">
            <v>521856.35</v>
          </cell>
          <cell r="C37">
            <v>1</v>
          </cell>
        </row>
        <row r="38">
          <cell r="A38" t="str">
            <v>Ishwardi</v>
          </cell>
          <cell r="B38">
            <v>12789704.92</v>
          </cell>
          <cell r="C38">
            <v>1</v>
          </cell>
        </row>
        <row r="39">
          <cell r="A39" t="str">
            <v>Islampur Road</v>
          </cell>
          <cell r="B39">
            <v>3992796.94</v>
          </cell>
          <cell r="C39">
            <v>1</v>
          </cell>
        </row>
        <row r="40">
          <cell r="A40" t="str">
            <v>Jatrabari</v>
          </cell>
          <cell r="B40">
            <v>5766848.68</v>
          </cell>
          <cell r="C40">
            <v>3</v>
          </cell>
        </row>
        <row r="41">
          <cell r="A41" t="str">
            <v>Jessore</v>
          </cell>
          <cell r="B41">
            <v>1762800.35</v>
          </cell>
          <cell r="C41">
            <v>1</v>
          </cell>
        </row>
        <row r="42">
          <cell r="A42" t="str">
            <v>Jikorgacha</v>
          </cell>
          <cell r="B42">
            <v>1037102.36</v>
          </cell>
          <cell r="C42">
            <v>1</v>
          </cell>
        </row>
        <row r="43">
          <cell r="A43" t="str">
            <v>Joydebpur</v>
          </cell>
          <cell r="B43">
            <v>2497993.34</v>
          </cell>
          <cell r="C43">
            <v>1</v>
          </cell>
        </row>
        <row r="44">
          <cell r="A44" t="str">
            <v>Kadamtali</v>
          </cell>
          <cell r="B44">
            <v>2173690.96</v>
          </cell>
          <cell r="C44">
            <v>2</v>
          </cell>
        </row>
        <row r="45">
          <cell r="A45" t="str">
            <v>Kazipara</v>
          </cell>
          <cell r="B45">
            <v>752240.07</v>
          </cell>
          <cell r="C45">
            <v>1</v>
          </cell>
        </row>
        <row r="46">
          <cell r="A46" t="str">
            <v>Keranigonj</v>
          </cell>
          <cell r="B46">
            <v>873043.67</v>
          </cell>
          <cell r="C46">
            <v>1</v>
          </cell>
        </row>
        <row r="47">
          <cell r="A47" t="str">
            <v>Keshobpur</v>
          </cell>
          <cell r="B47">
            <v>3413620.04</v>
          </cell>
          <cell r="C47">
            <v>2</v>
          </cell>
        </row>
        <row r="48">
          <cell r="A48" t="str">
            <v>Khatungonj</v>
          </cell>
          <cell r="B48">
            <v>4545172.02</v>
          </cell>
          <cell r="C48">
            <v>2</v>
          </cell>
        </row>
        <row r="49">
          <cell r="A49" t="str">
            <v>Khulna</v>
          </cell>
          <cell r="B49">
            <v>12459504.14</v>
          </cell>
          <cell r="C49">
            <v>2</v>
          </cell>
        </row>
        <row r="50">
          <cell r="A50" t="str">
            <v>Kosba</v>
          </cell>
          <cell r="B50">
            <v>2123618.03</v>
          </cell>
          <cell r="C50">
            <v>2</v>
          </cell>
        </row>
        <row r="51">
          <cell r="A51" t="str">
            <v>Kotiadi</v>
          </cell>
          <cell r="B51">
            <v>363532.41</v>
          </cell>
          <cell r="C51">
            <v>1</v>
          </cell>
        </row>
        <row r="52">
          <cell r="A52" t="str">
            <v>Lohagora, CTG</v>
          </cell>
          <cell r="B52">
            <v>999277.64</v>
          </cell>
          <cell r="C52">
            <v>1</v>
          </cell>
        </row>
        <row r="53">
          <cell r="A53" t="str">
            <v>Madhabpur</v>
          </cell>
          <cell r="B53">
            <v>2418053.93</v>
          </cell>
          <cell r="C53">
            <v>2</v>
          </cell>
        </row>
        <row r="54">
          <cell r="A54" t="str">
            <v>Maijdee</v>
          </cell>
          <cell r="B54">
            <v>1612106.06</v>
          </cell>
          <cell r="C54">
            <v>2</v>
          </cell>
        </row>
        <row r="55">
          <cell r="A55" t="str">
            <v>Mirpur</v>
          </cell>
          <cell r="B55">
            <v>12060734.34</v>
          </cell>
          <cell r="C55">
            <v>5</v>
          </cell>
        </row>
        <row r="56">
          <cell r="A56" t="str">
            <v>Mohammadpur</v>
          </cell>
          <cell r="B56">
            <v>1420266.12</v>
          </cell>
          <cell r="C56">
            <v>1</v>
          </cell>
        </row>
        <row r="57">
          <cell r="A57" t="str">
            <v>Mymensingh</v>
          </cell>
          <cell r="B57">
            <v>1503462.9</v>
          </cell>
          <cell r="C57">
            <v>1</v>
          </cell>
        </row>
        <row r="58">
          <cell r="A58" t="str">
            <v>Narail</v>
          </cell>
          <cell r="B58">
            <v>827277.82</v>
          </cell>
          <cell r="C58">
            <v>2</v>
          </cell>
        </row>
        <row r="59">
          <cell r="A59" t="str">
            <v>Nawabgonj</v>
          </cell>
          <cell r="B59">
            <v>1573589.7</v>
          </cell>
          <cell r="C59">
            <v>1</v>
          </cell>
        </row>
        <row r="60">
          <cell r="A60" t="str">
            <v>Nondon Kanon</v>
          </cell>
          <cell r="B60">
            <v>3597635.06</v>
          </cell>
          <cell r="C60">
            <v>1</v>
          </cell>
        </row>
        <row r="61">
          <cell r="A61" t="str">
            <v>Pabna</v>
          </cell>
          <cell r="B61">
            <v>3422359.53</v>
          </cell>
          <cell r="C61">
            <v>3</v>
          </cell>
        </row>
        <row r="62">
          <cell r="A62" t="str">
            <v>Patuakhali</v>
          </cell>
          <cell r="B62">
            <v>9479963.82</v>
          </cell>
          <cell r="C62">
            <v>3</v>
          </cell>
        </row>
        <row r="63">
          <cell r="A63" t="str">
            <v>Potiya</v>
          </cell>
          <cell r="B63">
            <v>2041804.66</v>
          </cell>
          <cell r="C63">
            <v>1</v>
          </cell>
        </row>
        <row r="64">
          <cell r="A64" t="str">
            <v>Rajshahi</v>
          </cell>
          <cell r="B64">
            <v>1221046.22</v>
          </cell>
          <cell r="C64">
            <v>1</v>
          </cell>
        </row>
        <row r="65">
          <cell r="A65" t="str">
            <v>Rangpur</v>
          </cell>
          <cell r="B65">
            <v>2085063.73</v>
          </cell>
          <cell r="C65">
            <v>3</v>
          </cell>
        </row>
        <row r="66">
          <cell r="A66" t="str">
            <v>Savar</v>
          </cell>
          <cell r="B66">
            <v>2705659.07</v>
          </cell>
          <cell r="C66">
            <v>2</v>
          </cell>
        </row>
        <row r="67">
          <cell r="A67" t="str">
            <v>Savar-2</v>
          </cell>
          <cell r="B67">
            <v>1832513.5</v>
          </cell>
          <cell r="C67">
            <v>1</v>
          </cell>
        </row>
        <row r="68">
          <cell r="A68" t="str">
            <v>Shaheshtagonj</v>
          </cell>
          <cell r="B68">
            <v>2876546.24</v>
          </cell>
          <cell r="C68">
            <v>2</v>
          </cell>
        </row>
        <row r="69">
          <cell r="A69" t="str">
            <v>Shambazar</v>
          </cell>
          <cell r="B69">
            <v>1414301.24</v>
          </cell>
          <cell r="C69">
            <v>1</v>
          </cell>
        </row>
        <row r="70">
          <cell r="A70" t="str">
            <v>South Surma</v>
          </cell>
          <cell r="B70">
            <v>1473758.34</v>
          </cell>
          <cell r="C70">
            <v>1</v>
          </cell>
        </row>
        <row r="71">
          <cell r="A71" t="str">
            <v>Swarupkathi</v>
          </cell>
          <cell r="B71">
            <v>4736867.29</v>
          </cell>
          <cell r="C71">
            <v>2</v>
          </cell>
        </row>
        <row r="72">
          <cell r="A72" t="str">
            <v>Tangail</v>
          </cell>
          <cell r="B72">
            <v>1108861.37</v>
          </cell>
          <cell r="C72">
            <v>1</v>
          </cell>
        </row>
        <row r="73">
          <cell r="A73" t="str">
            <v>Thakurgaon</v>
          </cell>
          <cell r="B73">
            <v>1661412.78</v>
          </cell>
          <cell r="C73">
            <v>2</v>
          </cell>
        </row>
        <row r="74">
          <cell r="A74" t="str">
            <v>Tongi</v>
          </cell>
          <cell r="B74">
            <v>1892237.48</v>
          </cell>
          <cell r="C74">
            <v>2</v>
          </cell>
        </row>
        <row r="75">
          <cell r="A75" t="str">
            <v>Grand Total</v>
          </cell>
          <cell r="B75">
            <v>178246336.52</v>
          </cell>
          <cell r="C75">
            <v>108</v>
          </cell>
        </row>
      </sheetData>
      <sheetData sheetId="19">
        <row r="5">
          <cell r="A5" t="str">
            <v>Ambarkhana</v>
          </cell>
          <cell r="B5">
            <v>121548266.8</v>
          </cell>
        </row>
        <row r="6">
          <cell r="A6" t="str">
            <v>Anderkilla</v>
          </cell>
          <cell r="B6">
            <v>175217947.14</v>
          </cell>
        </row>
        <row r="7">
          <cell r="A7" t="str">
            <v>Ashulia</v>
          </cell>
          <cell r="B7">
            <v>36046419.33</v>
          </cell>
        </row>
        <row r="8">
          <cell r="A8" t="str">
            <v>Badda</v>
          </cell>
          <cell r="B8">
            <v>189901499.38</v>
          </cell>
        </row>
        <row r="9">
          <cell r="A9" t="str">
            <v>Bagerhat</v>
          </cell>
          <cell r="B9">
            <v>100042164.79</v>
          </cell>
        </row>
        <row r="10">
          <cell r="A10" t="str">
            <v>Baligaon</v>
          </cell>
          <cell r="B10">
            <v>65294598.5</v>
          </cell>
        </row>
        <row r="11">
          <cell r="A11" t="str">
            <v>Banasree</v>
          </cell>
          <cell r="B11">
            <v>154958967.89</v>
          </cell>
        </row>
        <row r="12">
          <cell r="A12" t="str">
            <v>Bancharampur</v>
          </cell>
          <cell r="B12">
            <v>70397775.12</v>
          </cell>
        </row>
        <row r="13">
          <cell r="A13" t="str">
            <v>Bandartila </v>
          </cell>
          <cell r="B13">
            <v>97744012.21</v>
          </cell>
        </row>
        <row r="14">
          <cell r="A14" t="str">
            <v>Barguna</v>
          </cell>
          <cell r="B14">
            <v>58680805.05</v>
          </cell>
        </row>
        <row r="15">
          <cell r="A15" t="str">
            <v>Barishal</v>
          </cell>
          <cell r="B15">
            <v>140297485.06</v>
          </cell>
        </row>
        <row r="16">
          <cell r="A16" t="str">
            <v>Bhanga</v>
          </cell>
          <cell r="B16">
            <v>170675582.37</v>
          </cell>
        </row>
        <row r="17">
          <cell r="A17" t="str">
            <v>Bharaib</v>
          </cell>
          <cell r="B17">
            <v>103315479.17</v>
          </cell>
        </row>
        <row r="18">
          <cell r="A18" t="str">
            <v>Bheramara</v>
          </cell>
          <cell r="B18">
            <v>88571427.81</v>
          </cell>
        </row>
        <row r="19">
          <cell r="A19" t="str">
            <v>Bhola</v>
          </cell>
          <cell r="B19">
            <v>48416598.47</v>
          </cell>
        </row>
        <row r="20">
          <cell r="A20" t="str">
            <v>Bhulta</v>
          </cell>
          <cell r="B20">
            <v>104573559.25</v>
          </cell>
        </row>
        <row r="21">
          <cell r="A21" t="str">
            <v>Bogura</v>
          </cell>
          <cell r="B21">
            <v>156809134.5</v>
          </cell>
        </row>
        <row r="22">
          <cell r="A22" t="str">
            <v>Brahmanbaria</v>
          </cell>
          <cell r="B22">
            <v>142460452.39</v>
          </cell>
        </row>
        <row r="23">
          <cell r="A23" t="str">
            <v>C. Nawabganj</v>
          </cell>
          <cell r="B23">
            <v>140427016.83</v>
          </cell>
        </row>
        <row r="24">
          <cell r="A24" t="str">
            <v>Chandina</v>
          </cell>
          <cell r="B24">
            <v>193568701.97</v>
          </cell>
        </row>
        <row r="25">
          <cell r="A25" t="str">
            <v>Chauddagram</v>
          </cell>
          <cell r="B25">
            <v>136168511.49</v>
          </cell>
        </row>
        <row r="26">
          <cell r="A26" t="str">
            <v>Chawk Bazar</v>
          </cell>
          <cell r="B26">
            <v>213760500.17</v>
          </cell>
        </row>
        <row r="27">
          <cell r="A27" t="str">
            <v>Choumohoni</v>
          </cell>
          <cell r="B27">
            <v>145936559.13</v>
          </cell>
        </row>
        <row r="28">
          <cell r="A28" t="str">
            <v>Chuadanga</v>
          </cell>
          <cell r="B28">
            <v>114458092.64</v>
          </cell>
        </row>
        <row r="29">
          <cell r="A29" t="str">
            <v>Comilla East</v>
          </cell>
          <cell r="B29">
            <v>147661740.81</v>
          </cell>
        </row>
        <row r="30">
          <cell r="A30" t="str">
            <v>Comilla West</v>
          </cell>
          <cell r="B30">
            <v>74698129.31</v>
          </cell>
        </row>
        <row r="31">
          <cell r="A31" t="str">
            <v>Companygonj</v>
          </cell>
          <cell r="B31">
            <v>141132867.72</v>
          </cell>
        </row>
        <row r="32">
          <cell r="A32" t="str">
            <v>Cox's Bazar</v>
          </cell>
          <cell r="B32">
            <v>50640425.28</v>
          </cell>
        </row>
        <row r="33">
          <cell r="A33" t="str">
            <v>Daulatpur</v>
          </cell>
          <cell r="B33">
            <v>113618310.08</v>
          </cell>
        </row>
        <row r="34">
          <cell r="A34" t="str">
            <v>DEPZ</v>
          </cell>
          <cell r="B34">
            <v>90866907</v>
          </cell>
        </row>
        <row r="35">
          <cell r="A35" t="str">
            <v>Dhamrai</v>
          </cell>
          <cell r="B35">
            <v>58628419.28</v>
          </cell>
        </row>
        <row r="36">
          <cell r="A36" t="str">
            <v>Dinajpur</v>
          </cell>
          <cell r="B36">
            <v>91292925.4</v>
          </cell>
        </row>
        <row r="37">
          <cell r="A37" t="str">
            <v>Elephant Road</v>
          </cell>
          <cell r="B37">
            <v>155417824.53</v>
          </cell>
        </row>
        <row r="38">
          <cell r="A38" t="str">
            <v>Faridpur</v>
          </cell>
          <cell r="B38">
            <v>125527437.04</v>
          </cell>
        </row>
        <row r="39">
          <cell r="A39" t="str">
            <v>Fatullah</v>
          </cell>
          <cell r="B39">
            <v>78811240.45</v>
          </cell>
        </row>
        <row r="40">
          <cell r="A40" t="str">
            <v>Feni</v>
          </cell>
          <cell r="B40">
            <v>176483568.29</v>
          </cell>
        </row>
        <row r="41">
          <cell r="A41" t="str">
            <v>Fulbari</v>
          </cell>
          <cell r="B41">
            <v>46898419.38</v>
          </cell>
        </row>
        <row r="42">
          <cell r="A42" t="str">
            <v>Gaibandha</v>
          </cell>
          <cell r="B42">
            <v>101869719.16</v>
          </cell>
        </row>
        <row r="43">
          <cell r="A43" t="str">
            <v>Gazipur</v>
          </cell>
          <cell r="B43">
            <v>152862409.21</v>
          </cell>
        </row>
        <row r="44">
          <cell r="A44" t="str">
            <v>Ghatail</v>
          </cell>
          <cell r="B44">
            <v>68133440.49</v>
          </cell>
        </row>
        <row r="45">
          <cell r="A45" t="str">
            <v>Gopalgonj</v>
          </cell>
          <cell r="B45">
            <v>123870959.86</v>
          </cell>
        </row>
        <row r="46">
          <cell r="A46" t="str">
            <v>Gulistan</v>
          </cell>
          <cell r="B46">
            <v>156530523.87</v>
          </cell>
        </row>
        <row r="47">
          <cell r="A47" t="str">
            <v>Halishahar</v>
          </cell>
          <cell r="B47">
            <v>144409970.71</v>
          </cell>
        </row>
        <row r="48">
          <cell r="A48" t="str">
            <v>Hasnabad</v>
          </cell>
          <cell r="B48">
            <v>87055034.14</v>
          </cell>
        </row>
        <row r="49">
          <cell r="A49" t="str">
            <v>Hathazari</v>
          </cell>
          <cell r="B49">
            <v>155657481.28</v>
          </cell>
        </row>
        <row r="50">
          <cell r="A50" t="str">
            <v>Hazigonj</v>
          </cell>
          <cell r="B50">
            <v>125431716.67</v>
          </cell>
        </row>
        <row r="51">
          <cell r="A51" t="str">
            <v>Hobigonj</v>
          </cell>
          <cell r="B51">
            <v>134190565.84</v>
          </cell>
        </row>
        <row r="52">
          <cell r="A52" t="str">
            <v>Imamgonj</v>
          </cell>
          <cell r="B52">
            <v>146365975.45</v>
          </cell>
        </row>
        <row r="53">
          <cell r="A53" t="str">
            <v>Ishwardi</v>
          </cell>
          <cell r="B53">
            <v>157062025.13</v>
          </cell>
        </row>
        <row r="54">
          <cell r="A54" t="str">
            <v>Islambagh</v>
          </cell>
          <cell r="B54">
            <v>106569661.64</v>
          </cell>
        </row>
        <row r="55">
          <cell r="A55" t="str">
            <v>Islampur Road</v>
          </cell>
          <cell r="B55">
            <v>245457946.55</v>
          </cell>
        </row>
        <row r="56">
          <cell r="A56" t="str">
            <v>Jamalpur</v>
          </cell>
          <cell r="B56">
            <v>19146358.65</v>
          </cell>
        </row>
        <row r="57">
          <cell r="A57" t="str">
            <v>Jatrabari</v>
          </cell>
          <cell r="B57">
            <v>178668007.58</v>
          </cell>
        </row>
        <row r="58">
          <cell r="A58" t="str">
            <v>Jessore</v>
          </cell>
          <cell r="B58">
            <v>210683641.12</v>
          </cell>
        </row>
        <row r="59">
          <cell r="A59" t="str">
            <v>Jhenaidah</v>
          </cell>
          <cell r="B59">
            <v>110871455.87</v>
          </cell>
        </row>
        <row r="60">
          <cell r="A60" t="str">
            <v>Jikorgacha</v>
          </cell>
          <cell r="B60">
            <v>98291659.48</v>
          </cell>
        </row>
        <row r="61">
          <cell r="A61" t="str">
            <v>Joydebpur</v>
          </cell>
          <cell r="B61">
            <v>131229504.74</v>
          </cell>
        </row>
        <row r="62">
          <cell r="A62" t="str">
            <v>Joypurhat</v>
          </cell>
          <cell r="B62">
            <v>60816462.2</v>
          </cell>
        </row>
        <row r="63">
          <cell r="A63" t="str">
            <v>Kadamtali</v>
          </cell>
          <cell r="B63">
            <v>111036485.63</v>
          </cell>
        </row>
        <row r="64">
          <cell r="A64" t="str">
            <v>Kalurghat</v>
          </cell>
          <cell r="B64">
            <v>110660788.83</v>
          </cell>
        </row>
        <row r="65">
          <cell r="A65" t="str">
            <v>Kamrangirchar</v>
          </cell>
          <cell r="B65">
            <v>113605953.15</v>
          </cell>
        </row>
        <row r="66">
          <cell r="A66" t="str">
            <v>Kazipara</v>
          </cell>
          <cell r="B66">
            <v>127129772.49</v>
          </cell>
        </row>
        <row r="67">
          <cell r="A67" t="str">
            <v>Keranigonj</v>
          </cell>
          <cell r="B67">
            <v>146409432.89</v>
          </cell>
        </row>
        <row r="68">
          <cell r="A68" t="str">
            <v>Keshobpur</v>
          </cell>
          <cell r="B68">
            <v>164735117.71</v>
          </cell>
        </row>
        <row r="69">
          <cell r="A69" t="str">
            <v>Khatungonj</v>
          </cell>
          <cell r="B69">
            <v>139014742.78</v>
          </cell>
        </row>
        <row r="70">
          <cell r="A70" t="str">
            <v>Khulna</v>
          </cell>
          <cell r="B70">
            <v>264143070.3</v>
          </cell>
        </row>
        <row r="71">
          <cell r="A71" t="str">
            <v>Konabari</v>
          </cell>
          <cell r="B71">
            <v>152491305.69</v>
          </cell>
        </row>
        <row r="72">
          <cell r="A72" t="str">
            <v>Kosba</v>
          </cell>
          <cell r="B72">
            <v>159769600.18</v>
          </cell>
        </row>
        <row r="73">
          <cell r="A73" t="str">
            <v>Kotiadi</v>
          </cell>
          <cell r="B73">
            <v>134566285.04</v>
          </cell>
        </row>
        <row r="74">
          <cell r="A74" t="str">
            <v>Kulaura </v>
          </cell>
          <cell r="B74">
            <v>95783969.18</v>
          </cell>
        </row>
        <row r="75">
          <cell r="A75" t="str">
            <v>Kurigram</v>
          </cell>
          <cell r="B75">
            <v>123830509.21</v>
          </cell>
        </row>
        <row r="76">
          <cell r="A76" t="str">
            <v>Kushtia</v>
          </cell>
          <cell r="B76">
            <v>122342770.16</v>
          </cell>
        </row>
        <row r="77">
          <cell r="A77" t="str">
            <v>Laksham</v>
          </cell>
          <cell r="B77">
            <v>89221474.21</v>
          </cell>
        </row>
        <row r="78">
          <cell r="A78" t="str">
            <v>Laxmipur</v>
          </cell>
          <cell r="B78">
            <v>97712031.51</v>
          </cell>
        </row>
        <row r="79">
          <cell r="A79" t="str">
            <v>Lohagora, CTG</v>
          </cell>
          <cell r="B79">
            <v>110320392.75</v>
          </cell>
        </row>
        <row r="80">
          <cell r="A80" t="str">
            <v>Madhabpur</v>
          </cell>
          <cell r="B80">
            <v>189469188.58</v>
          </cell>
        </row>
        <row r="81">
          <cell r="A81" t="str">
            <v>Magura</v>
          </cell>
          <cell r="B81">
            <v>66229912.25</v>
          </cell>
        </row>
        <row r="82">
          <cell r="A82" t="str">
            <v>Maijdee</v>
          </cell>
          <cell r="B82">
            <v>149097497.37</v>
          </cell>
        </row>
        <row r="83">
          <cell r="A83" t="str">
            <v>Manikgonj</v>
          </cell>
          <cell r="B83">
            <v>37556393.87</v>
          </cell>
        </row>
        <row r="84">
          <cell r="A84" t="str">
            <v>Mirpur</v>
          </cell>
          <cell r="B84">
            <v>307699172.16</v>
          </cell>
        </row>
        <row r="85">
          <cell r="A85" t="str">
            <v>Moghbazar</v>
          </cell>
          <cell r="B85">
            <v>131198050.43</v>
          </cell>
        </row>
        <row r="86">
          <cell r="A86" t="str">
            <v>Mohammadpur</v>
          </cell>
          <cell r="B86">
            <v>109067166.75</v>
          </cell>
        </row>
        <row r="87">
          <cell r="A87" t="str">
            <v>Mymensingh</v>
          </cell>
          <cell r="B87">
            <v>194591847.91</v>
          </cell>
        </row>
        <row r="88">
          <cell r="A88" t="str">
            <v>Nangolkot</v>
          </cell>
          <cell r="B88">
            <v>156057212.58</v>
          </cell>
        </row>
        <row r="89">
          <cell r="A89" t="str">
            <v>Naogaon</v>
          </cell>
          <cell r="B89">
            <v>141992011.33</v>
          </cell>
        </row>
        <row r="90">
          <cell r="A90" t="str">
            <v>Narail</v>
          </cell>
          <cell r="B90">
            <v>90523043.14</v>
          </cell>
        </row>
        <row r="91">
          <cell r="A91" t="str">
            <v>Narayangonj</v>
          </cell>
          <cell r="B91">
            <v>156043398.1</v>
          </cell>
        </row>
        <row r="92">
          <cell r="A92" t="str">
            <v>Narsingdi</v>
          </cell>
          <cell r="B92">
            <v>292867729.12</v>
          </cell>
        </row>
        <row r="93">
          <cell r="A93" t="str">
            <v>Nawabgonj</v>
          </cell>
          <cell r="B93">
            <v>146580849.26</v>
          </cell>
        </row>
        <row r="94">
          <cell r="A94" t="str">
            <v>Nawabpur</v>
          </cell>
          <cell r="B94">
            <v>137494059.69</v>
          </cell>
        </row>
        <row r="95">
          <cell r="A95" t="str">
            <v>Nondon Kanon</v>
          </cell>
          <cell r="B95">
            <v>159957822.84</v>
          </cell>
        </row>
        <row r="96">
          <cell r="A96" t="str">
            <v>Pabna</v>
          </cell>
          <cell r="B96">
            <v>217285660.23</v>
          </cell>
        </row>
        <row r="97">
          <cell r="A97" t="str">
            <v>Pahartali</v>
          </cell>
          <cell r="B97">
            <v>162278487.57</v>
          </cell>
        </row>
        <row r="98">
          <cell r="A98" t="str">
            <v>Panchaghar</v>
          </cell>
          <cell r="B98">
            <v>69785223.54</v>
          </cell>
        </row>
        <row r="99">
          <cell r="A99" t="str">
            <v>Patuakhali</v>
          </cell>
          <cell r="B99">
            <v>139310133.65</v>
          </cell>
        </row>
        <row r="100">
          <cell r="A100" t="str">
            <v>Potiya</v>
          </cell>
          <cell r="B100">
            <v>79912798.42</v>
          </cell>
        </row>
        <row r="101">
          <cell r="A101" t="str">
            <v>Rajbari</v>
          </cell>
          <cell r="B101">
            <v>87674571.76</v>
          </cell>
        </row>
        <row r="102">
          <cell r="A102" t="str">
            <v>Rajshahi</v>
          </cell>
          <cell r="B102">
            <v>222479409.37</v>
          </cell>
        </row>
        <row r="103">
          <cell r="A103" t="str">
            <v>Rangpur</v>
          </cell>
          <cell r="B103">
            <v>121166933.1</v>
          </cell>
        </row>
        <row r="104">
          <cell r="A104" t="str">
            <v>Sathkhira</v>
          </cell>
          <cell r="B104">
            <v>49023403</v>
          </cell>
        </row>
        <row r="105">
          <cell r="A105" t="str">
            <v>Savar</v>
          </cell>
          <cell r="B105">
            <v>74183292.54</v>
          </cell>
        </row>
        <row r="106">
          <cell r="A106" t="str">
            <v>Savar-2</v>
          </cell>
          <cell r="B106">
            <v>129239010.39</v>
          </cell>
        </row>
        <row r="107">
          <cell r="A107" t="str">
            <v>Shaheshtagonj</v>
          </cell>
          <cell r="B107">
            <v>165284196.8</v>
          </cell>
        </row>
        <row r="108">
          <cell r="A108" t="str">
            <v>Shambazar</v>
          </cell>
          <cell r="B108">
            <v>269828979.91</v>
          </cell>
        </row>
        <row r="109">
          <cell r="A109" t="str">
            <v>Shariatpur</v>
          </cell>
          <cell r="B109">
            <v>161496606.03</v>
          </cell>
        </row>
        <row r="110">
          <cell r="A110" t="str">
            <v>Sherpur</v>
          </cell>
          <cell r="B110">
            <v>58350805.95</v>
          </cell>
        </row>
        <row r="111">
          <cell r="A111" t="str">
            <v>Shiddirgonj</v>
          </cell>
          <cell r="B111">
            <v>157443463.33</v>
          </cell>
        </row>
        <row r="112">
          <cell r="A112" t="str">
            <v>Sirajgonj</v>
          </cell>
          <cell r="B112">
            <v>140393554.72</v>
          </cell>
        </row>
        <row r="113">
          <cell r="A113" t="str">
            <v>Sonir Akhra</v>
          </cell>
          <cell r="B113">
            <v>102502026.83</v>
          </cell>
        </row>
        <row r="114">
          <cell r="A114" t="str">
            <v>South Surma</v>
          </cell>
          <cell r="B114">
            <v>68438730.58</v>
          </cell>
        </row>
        <row r="115">
          <cell r="A115" t="str">
            <v>Sreenagar</v>
          </cell>
          <cell r="B115">
            <v>85997455.26</v>
          </cell>
        </row>
        <row r="116">
          <cell r="A116" t="str">
            <v>Sreepur</v>
          </cell>
          <cell r="B116">
            <v>167423919.94</v>
          </cell>
        </row>
        <row r="117">
          <cell r="A117" t="str">
            <v>Swarupkathi</v>
          </cell>
          <cell r="B117">
            <v>66845803.66</v>
          </cell>
        </row>
        <row r="118">
          <cell r="A118" t="str">
            <v>Syedpur</v>
          </cell>
          <cell r="B118">
            <v>89829083.32</v>
          </cell>
        </row>
        <row r="119">
          <cell r="A119" t="str">
            <v>Tangail</v>
          </cell>
          <cell r="B119">
            <v>89106455.83</v>
          </cell>
        </row>
        <row r="120">
          <cell r="A120" t="str">
            <v>Thakurgaon</v>
          </cell>
          <cell r="B120">
            <v>80116810.43</v>
          </cell>
        </row>
        <row r="121">
          <cell r="A121" t="str">
            <v>Tongi</v>
          </cell>
          <cell r="B121">
            <v>160726622.93</v>
          </cell>
        </row>
        <row r="122">
          <cell r="A122" t="str">
            <v>Zinzira</v>
          </cell>
          <cell r="B122">
            <v>75857193.82</v>
          </cell>
        </row>
        <row r="123">
          <cell r="A123" t="str">
            <v>Grand Total</v>
          </cell>
          <cell r="B123">
            <v>15174234470.02</v>
          </cell>
        </row>
      </sheetData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0"/>
  <sheetViews>
    <sheetView tabSelected="1" topLeftCell="A9" workbookViewId="0">
      <selection activeCell="M15" sqref="M15"/>
    </sheetView>
  </sheetViews>
  <sheetFormatPr defaultColWidth="9" defaultRowHeight="14.4"/>
  <cols>
    <col min="1" max="1" width="18.3611111111111" customWidth="1"/>
    <col min="2" max="2" width="11" customWidth="1"/>
    <col min="3" max="3" width="10.5555555555556"/>
    <col min="5" max="5" width="10.5555555555556"/>
    <col min="7" max="7" width="12" customWidth="1"/>
    <col min="8" max="8" width="10.5555555555556"/>
    <col min="9" max="9" width="6.09259259259259" customWidth="1"/>
    <col min="10" max="10" width="10.5555555555556"/>
    <col min="12" max="13" width="11.6666666666667"/>
    <col min="15" max="15" width="11.6666666666667"/>
    <col min="17" max="17" width="12.7777777777778"/>
    <col min="18" max="18" width="10.5555555555556"/>
    <col min="20" max="20" width="11.6666666666667"/>
  </cols>
  <sheetData>
    <row r="1" spans="2:20">
      <c r="B1" s="1" t="s">
        <v>0</v>
      </c>
      <c r="C1" s="1"/>
      <c r="D1" s="1"/>
      <c r="E1" s="1"/>
      <c r="F1" s="1"/>
      <c r="G1" s="1"/>
      <c r="H1" s="1"/>
      <c r="I1" s="1"/>
      <c r="J1" s="1"/>
      <c r="K1" s="25"/>
      <c r="L1" s="26" t="s">
        <v>1</v>
      </c>
      <c r="M1" s="26"/>
      <c r="N1" s="26"/>
      <c r="O1" s="26"/>
      <c r="P1" s="26"/>
      <c r="Q1" s="26"/>
      <c r="R1" s="26"/>
      <c r="S1" s="26"/>
      <c r="T1" s="26"/>
    </row>
    <row r="2" spans="1:20">
      <c r="A2" s="2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5" t="s">
        <v>8</v>
      </c>
      <c r="H2" s="3" t="s">
        <v>9</v>
      </c>
      <c r="I2" s="4" t="s">
        <v>10</v>
      </c>
      <c r="J2" s="3" t="s">
        <v>11</v>
      </c>
      <c r="K2" s="4" t="s">
        <v>12</v>
      </c>
      <c r="L2" s="27" t="s">
        <v>3</v>
      </c>
      <c r="M2" s="27" t="s">
        <v>4</v>
      </c>
      <c r="N2" s="28" t="s">
        <v>5</v>
      </c>
      <c r="O2" s="27" t="s">
        <v>6</v>
      </c>
      <c r="P2" s="28" t="s">
        <v>13</v>
      </c>
      <c r="Q2" s="27" t="s">
        <v>8</v>
      </c>
      <c r="R2" s="27" t="s">
        <v>9</v>
      </c>
      <c r="S2" s="28" t="s">
        <v>10</v>
      </c>
      <c r="T2" s="27" t="s">
        <v>11</v>
      </c>
    </row>
    <row r="3" spans="1:20">
      <c r="A3" s="6" t="s">
        <v>14</v>
      </c>
      <c r="B3" s="9">
        <f>VLOOKUP(A3,[1]ticket_pivot!$A$6:$V$127,2,FALSE)</f>
        <v>564045.73</v>
      </c>
      <c r="C3" s="9">
        <f>VLOOKUP(A3,[1]ticket_pivot!$A$6:$V$127,3,FALSE)</f>
        <v>169675.05</v>
      </c>
      <c r="D3" s="10">
        <f t="shared" ref="D3:D19" si="0">IFERROR(C3/B3,"")</f>
        <v>0.300817896449637</v>
      </c>
      <c r="E3" s="9">
        <f>VLOOKUP(A3,[1]ticket_pivot!$A$6:$V$127,4,FALSE)</f>
        <v>169465.23</v>
      </c>
      <c r="F3" s="10">
        <f t="shared" ref="F3:F19" si="1">IFERROR(E3/C3,"")</f>
        <v>0.998763400983232</v>
      </c>
      <c r="G3" s="9">
        <f>VLOOKUP(A3,[1]Sheet12!$A$5:$G$125,2,FALSE)</f>
        <v>2326962.82</v>
      </c>
      <c r="H3" s="9">
        <f>VLOOKUP(A3,[1]NPL!$A$5:$H$119,2,FALSE)</f>
        <v>307132.5</v>
      </c>
      <c r="I3" s="10">
        <f t="shared" ref="I3:I19" si="2">IFERROR(H3/G3,"")</f>
        <v>0.131988572125102</v>
      </c>
      <c r="J3" s="9">
        <f>VLOOKUP(A3,[1]PAR!$A$5:$H$120,2,FALSE)</f>
        <v>945378.63</v>
      </c>
      <c r="K3" s="10">
        <f t="shared" ref="K3:K19" si="3">IFERROR(J3/G3,"")</f>
        <v>0.406271480521549</v>
      </c>
      <c r="L3" s="9">
        <f>VLOOKUP(A3,[1]ticket_pivot!$A$6:$V$127,5,FALSE)</f>
        <v>5816029.83</v>
      </c>
      <c r="M3" s="9">
        <f>VLOOKUP(A3,[1]ticket_pivot!$A$6:$V$127,6,FALSE)</f>
        <v>3776910.19</v>
      </c>
      <c r="N3" s="10">
        <f t="shared" ref="N3:N19" si="4">IFERROR(M3/L3,"")</f>
        <v>0.649396633166856</v>
      </c>
      <c r="O3" s="9">
        <f>VLOOKUP(A3,[1]ticket_pivot!$A$6:$V$127,7,FALSE)</f>
        <v>3744744.23</v>
      </c>
      <c r="P3" s="10">
        <f t="shared" ref="P3:P19" si="5">IFERROR(O3/M3,"")</f>
        <v>0.991483525320468</v>
      </c>
      <c r="Q3" s="9">
        <f>VLOOKUP(A3,[1]Sheet12!$A$5:$G$125,3,FALSE)</f>
        <v>38511690.51</v>
      </c>
      <c r="R3" s="9">
        <f>VLOOKUP(A3,[1]NPL!$A$5:$H$119,3,FALSE)</f>
        <v>2444085.7</v>
      </c>
      <c r="S3" s="10">
        <f t="shared" ref="S3:S19" si="6">IFERROR(R3/Q3,"")</f>
        <v>0.0634634747951499</v>
      </c>
      <c r="T3" s="9">
        <f>VLOOKUP(A3,[1]PAR!$A$5:$H$120,3,FALSE)</f>
        <v>2695449.76</v>
      </c>
    </row>
    <row r="4" spans="1:20">
      <c r="A4" s="6" t="s">
        <v>15</v>
      </c>
      <c r="B4" s="9">
        <f>VLOOKUP(A4,[1]ticket_pivot!$A$6:$V$127,2,FALSE)</f>
        <v>772371.83</v>
      </c>
      <c r="C4" s="9">
        <f>VLOOKUP(A4,[1]ticket_pivot!$A$6:$V$127,3,FALSE)</f>
        <v>486177.51</v>
      </c>
      <c r="D4" s="10">
        <f t="shared" si="0"/>
        <v>0.629460437468311</v>
      </c>
      <c r="E4" s="9">
        <f>VLOOKUP(A4,[1]ticket_pivot!$A$6:$V$127,4,FALSE)</f>
        <v>485316.82</v>
      </c>
      <c r="F4" s="10">
        <f t="shared" si="1"/>
        <v>0.9982296795259</v>
      </c>
      <c r="G4" s="9">
        <f>VLOOKUP(A4,[1]Sheet12!$A$5:$G$125,2,FALSE)</f>
        <v>6455439.32</v>
      </c>
      <c r="H4" s="9">
        <f>VLOOKUP(A4,[1]NPL!$A$5:$H$119,2,FALSE)</f>
        <v>0</v>
      </c>
      <c r="I4" s="10">
        <f t="shared" si="2"/>
        <v>0</v>
      </c>
      <c r="J4" s="9">
        <f>VLOOKUP(A4,[1]PAR!$A$5:$H$120,2,FALSE)</f>
        <v>961754.99</v>
      </c>
      <c r="K4" s="10">
        <f t="shared" si="3"/>
        <v>0.148983662044553</v>
      </c>
      <c r="L4" s="9">
        <f>VLOOKUP(A4,[1]ticket_pivot!$A$6:$V$127,5,FALSE)</f>
        <v>5771774.64</v>
      </c>
      <c r="M4" s="9">
        <f>VLOOKUP(A4,[1]ticket_pivot!$A$6:$V$127,6,FALSE)</f>
        <v>4449130.37</v>
      </c>
      <c r="N4" s="10">
        <f t="shared" si="4"/>
        <v>0.770842703934816</v>
      </c>
      <c r="O4" s="9">
        <f>VLOOKUP(A4,[1]ticket_pivot!$A$6:$V$127,7,FALSE)</f>
        <v>4379098.88</v>
      </c>
      <c r="P4" s="10">
        <f t="shared" si="5"/>
        <v>0.984259510471482</v>
      </c>
      <c r="Q4" s="9">
        <f>VLOOKUP(A4,[1]Sheet12!$A$5:$G$125,3,FALSE)</f>
        <v>61405790.63</v>
      </c>
      <c r="R4" s="9">
        <f>VLOOKUP(A4,[1]NPL!$A$5:$H$119,3,FALSE)</f>
        <v>1170507.81</v>
      </c>
      <c r="S4" s="10">
        <f t="shared" si="6"/>
        <v>0.0190618473924208</v>
      </c>
      <c r="T4" s="9">
        <f>VLOOKUP(A4,[1]PAR!$A$5:$H$120,3,FALSE)</f>
        <v>2066381.45</v>
      </c>
    </row>
    <row r="5" spans="1:20">
      <c r="A5" s="6" t="s">
        <v>16</v>
      </c>
      <c r="B5" s="9">
        <f>VLOOKUP(A5,[1]ticket_pivot!$A$6:$V$127,2,FALSE)</f>
        <v>1548741.58</v>
      </c>
      <c r="C5" s="9">
        <f>VLOOKUP(A5,[1]ticket_pivot!$A$6:$V$127,3,FALSE)</f>
        <v>601393.82</v>
      </c>
      <c r="D5" s="10">
        <f t="shared" si="0"/>
        <v>0.388311276565584</v>
      </c>
      <c r="E5" s="9">
        <f>VLOOKUP(A5,[1]ticket_pivot!$A$6:$V$127,4,FALSE)</f>
        <v>600354.46</v>
      </c>
      <c r="F5" s="10">
        <f t="shared" si="1"/>
        <v>0.998271748120059</v>
      </c>
      <c r="G5" s="9">
        <f>VLOOKUP(A5,[1]Sheet12!$A$5:$G$125,2,FALSE)</f>
        <v>14152287.18</v>
      </c>
      <c r="H5" s="9">
        <f>VLOOKUP(A5,[1]NPL!$A$5:$H$119,2,FALSE)</f>
        <v>956825.25</v>
      </c>
      <c r="I5" s="10">
        <f t="shared" si="2"/>
        <v>0.0676092307787666</v>
      </c>
      <c r="J5" s="9">
        <f>VLOOKUP(A5,[1]PAR!$A$5:$H$120,2,FALSE)</f>
        <v>1296254.15</v>
      </c>
      <c r="K5" s="10">
        <f t="shared" si="3"/>
        <v>0.0915932621712104</v>
      </c>
      <c r="L5" s="9">
        <f>VLOOKUP(A5,[1]ticket_pivot!$A$6:$V$127,5,FALSE)</f>
        <v>14705740.76</v>
      </c>
      <c r="M5" s="9">
        <f>VLOOKUP(A5,[1]ticket_pivot!$A$6:$V$127,6,FALSE)</f>
        <v>7765776.98</v>
      </c>
      <c r="N5" s="10">
        <f t="shared" si="4"/>
        <v>0.528077919143191</v>
      </c>
      <c r="O5" s="9">
        <f>VLOOKUP(A5,[1]ticket_pivot!$A$6:$V$127,7,FALSE)</f>
        <v>7306668.25</v>
      </c>
      <c r="P5" s="10">
        <f t="shared" si="5"/>
        <v>0.94088051573173</v>
      </c>
      <c r="Q5" s="9">
        <f>VLOOKUP(A5,[1]Sheet12!$A$5:$G$125,3,FALSE)</f>
        <v>38211282.42</v>
      </c>
      <c r="R5" s="9">
        <f>VLOOKUP(A5,[1]NPL!$A$5:$H$119,3,FALSE)</f>
        <v>7172622.78</v>
      </c>
      <c r="S5" s="10">
        <f t="shared" si="6"/>
        <v>0.187709553978377</v>
      </c>
      <c r="T5" s="9">
        <f>VLOOKUP(A5,[1]PAR!$A$5:$H$120,3,FALSE)</f>
        <v>13968708.17</v>
      </c>
    </row>
    <row r="6" spans="1:20">
      <c r="A6" s="6" t="s">
        <v>17</v>
      </c>
      <c r="B6" s="9"/>
      <c r="C6" s="9"/>
      <c r="D6" s="10" t="str">
        <f t="shared" si="0"/>
        <v/>
      </c>
      <c r="E6" s="9"/>
      <c r="F6" s="10" t="str">
        <f t="shared" si="1"/>
        <v/>
      </c>
      <c r="G6" s="9"/>
      <c r="H6" s="9"/>
      <c r="I6" s="10" t="str">
        <f t="shared" si="2"/>
        <v/>
      </c>
      <c r="J6" s="9"/>
      <c r="K6" s="10" t="str">
        <f t="shared" si="3"/>
        <v/>
      </c>
      <c r="L6" s="9"/>
      <c r="M6" s="9"/>
      <c r="N6" s="10" t="str">
        <f t="shared" si="4"/>
        <v/>
      </c>
      <c r="O6" s="9"/>
      <c r="P6" s="10" t="str">
        <f t="shared" si="5"/>
        <v/>
      </c>
      <c r="Q6" s="9"/>
      <c r="R6" s="9"/>
      <c r="S6" s="10" t="str">
        <f t="shared" si="6"/>
        <v/>
      </c>
      <c r="T6" s="9"/>
    </row>
    <row r="7" spans="1:20">
      <c r="A7" s="11" t="s">
        <v>18</v>
      </c>
      <c r="B7" s="12">
        <f>SUM(B3:B6)</f>
        <v>2885159.14</v>
      </c>
      <c r="C7" s="12">
        <f t="shared" ref="C7:T7" si="7">SUM(C3:C6)</f>
        <v>1257246.38</v>
      </c>
      <c r="D7" s="13">
        <f t="shared" si="0"/>
        <v>0.4357632695436</v>
      </c>
      <c r="E7" s="12">
        <f t="shared" si="7"/>
        <v>1255136.51</v>
      </c>
      <c r="F7" s="13">
        <f t="shared" si="1"/>
        <v>0.998321832511461</v>
      </c>
      <c r="G7" s="12">
        <f t="shared" si="7"/>
        <v>22934689.32</v>
      </c>
      <c r="H7" s="12">
        <f t="shared" si="7"/>
        <v>1263957.75</v>
      </c>
      <c r="I7" s="13">
        <f t="shared" si="2"/>
        <v>0.0551111781966794</v>
      </c>
      <c r="J7" s="12">
        <f t="shared" si="7"/>
        <v>3203387.77</v>
      </c>
      <c r="K7" s="13">
        <f t="shared" si="3"/>
        <v>0.139674347679369</v>
      </c>
      <c r="L7" s="12">
        <f t="shared" si="7"/>
        <v>26293545.23</v>
      </c>
      <c r="M7" s="12">
        <f t="shared" si="7"/>
        <v>15991817.54</v>
      </c>
      <c r="N7" s="13">
        <f t="shared" si="4"/>
        <v>0.608203169261249</v>
      </c>
      <c r="O7" s="12">
        <f t="shared" si="7"/>
        <v>15430511.36</v>
      </c>
      <c r="P7" s="13">
        <f t="shared" si="5"/>
        <v>0.964900413689938</v>
      </c>
      <c r="Q7" s="12">
        <f t="shared" si="7"/>
        <v>138128763.56</v>
      </c>
      <c r="R7" s="12">
        <f t="shared" si="7"/>
        <v>10787216.29</v>
      </c>
      <c r="S7" s="13">
        <f t="shared" si="6"/>
        <v>0.0780953655993183</v>
      </c>
      <c r="T7" s="12">
        <f t="shared" si="7"/>
        <v>18730539.38</v>
      </c>
    </row>
    <row r="8" spans="1:20">
      <c r="A8" s="6" t="s">
        <v>19</v>
      </c>
      <c r="B8" s="9">
        <f>VLOOKUP(A8,[1]ticket_pivot!$A$6:$V$127,2,FALSE)</f>
        <v>394678.54</v>
      </c>
      <c r="C8" s="9">
        <f>VLOOKUP(A8,[1]ticket_pivot!$A$6:$V$127,3,FALSE)</f>
        <v>212088.37</v>
      </c>
      <c r="D8" s="10">
        <f t="shared" si="0"/>
        <v>0.537369906151979</v>
      </c>
      <c r="E8" s="9">
        <f>VLOOKUP(A8,[1]ticket_pivot!$A$6:$V$127,4,FALSE)</f>
        <v>211846.78</v>
      </c>
      <c r="F8" s="10">
        <f t="shared" si="1"/>
        <v>0.998860899350587</v>
      </c>
      <c r="G8" s="9">
        <f>VLOOKUP(A8,[1]Sheet12!$A$5:$G$125,2,FALSE)</f>
        <v>2056376.1</v>
      </c>
      <c r="H8" s="9">
        <f>VLOOKUP(A8,[1]NPL!$A$5:$H$119,2,FALSE)</f>
        <v>81351.24</v>
      </c>
      <c r="I8" s="10">
        <f t="shared" si="2"/>
        <v>0.0395604870140243</v>
      </c>
      <c r="J8" s="9">
        <f>VLOOKUP(A8,[1]PAR!$A$5:$H$120,2,FALSE)</f>
        <v>261516.02</v>
      </c>
      <c r="K8" s="10">
        <f t="shared" si="3"/>
        <v>0.127173244232901</v>
      </c>
      <c r="L8" s="9">
        <f>VLOOKUP(A8,[1]ticket_pivot!$A$6:$V$127,5,FALSE)</f>
        <v>9827002.45</v>
      </c>
      <c r="M8" s="9">
        <f>VLOOKUP(A8,[1]ticket_pivot!$A$6:$V$127,6,FALSE)</f>
        <v>5336362.58</v>
      </c>
      <c r="N8" s="10">
        <f t="shared" si="4"/>
        <v>0.543030553533646</v>
      </c>
      <c r="O8" s="9">
        <f>VLOOKUP(A8,[1]ticket_pivot!$A$6:$V$127,7,FALSE)</f>
        <v>5220196.18</v>
      </c>
      <c r="P8" s="10">
        <f t="shared" si="5"/>
        <v>0.978231164344909</v>
      </c>
      <c r="Q8" s="9">
        <f>VLOOKUP(A8,[1]Sheet12!$A$5:$G$125,3,FALSE)</f>
        <v>74900163.95</v>
      </c>
      <c r="R8" s="9">
        <f>VLOOKUP(A8,[1]NPL!$A$5:$H$119,3,FALSE)</f>
        <v>4906186.61</v>
      </c>
      <c r="S8" s="10">
        <f t="shared" si="6"/>
        <v>0.0655030156312495</v>
      </c>
      <c r="T8" s="9">
        <f>VLOOKUP(A8,[1]PAR!$A$5:$H$120,3,FALSE)</f>
        <v>12472584.29</v>
      </c>
    </row>
    <row r="9" spans="1:20">
      <c r="A9" s="6" t="s">
        <v>20</v>
      </c>
      <c r="B9" s="9">
        <f>VLOOKUP(A9,[1]ticket_pivot!$A$6:$V$127,2,FALSE)</f>
        <v>633819.02</v>
      </c>
      <c r="C9" s="9">
        <f>VLOOKUP(A9,[1]ticket_pivot!$A$6:$V$127,3,FALSE)</f>
        <v>247817.82</v>
      </c>
      <c r="D9" s="10">
        <f t="shared" si="0"/>
        <v>0.390991453680264</v>
      </c>
      <c r="E9" s="9">
        <f>VLOOKUP(A9,[1]ticket_pivot!$A$6:$V$127,4,FALSE)</f>
        <v>247781</v>
      </c>
      <c r="F9" s="10">
        <f t="shared" si="1"/>
        <v>0.999851423113963</v>
      </c>
      <c r="G9" s="9">
        <f>VLOOKUP(A9,[1]Sheet12!$A$5:$G$125,2,FALSE)</f>
        <v>4684108.15</v>
      </c>
      <c r="H9" s="9">
        <f>VLOOKUP(A9,[1]NPL!$A$5:$H$119,2,FALSE)</f>
        <v>0</v>
      </c>
      <c r="I9" s="10">
        <f t="shared" si="2"/>
        <v>0</v>
      </c>
      <c r="J9" s="9">
        <f>VLOOKUP(A9,[1]PAR!$A$5:$H$120,2,FALSE)</f>
        <v>869035.29</v>
      </c>
      <c r="K9" s="10">
        <f t="shared" si="3"/>
        <v>0.185528442591574</v>
      </c>
      <c r="L9" s="9">
        <f>VLOOKUP(A9,[1]ticket_pivot!$A$6:$V$127,5,FALSE)</f>
        <v>9630604.33</v>
      </c>
      <c r="M9" s="9">
        <f>VLOOKUP(A9,[1]ticket_pivot!$A$6:$V$127,6,FALSE)</f>
        <v>7167206.5</v>
      </c>
      <c r="N9" s="10">
        <f t="shared" si="4"/>
        <v>0.744211500588146</v>
      </c>
      <c r="O9" s="9">
        <f>VLOOKUP(A9,[1]ticket_pivot!$A$6:$V$127,7,FALSE)</f>
        <v>6561574.32</v>
      </c>
      <c r="P9" s="10">
        <f t="shared" si="5"/>
        <v>0.915499549231628</v>
      </c>
      <c r="Q9" s="9">
        <f>VLOOKUP(A9,[1]Sheet12!$A$5:$G$125,3,FALSE)</f>
        <v>54081026.11</v>
      </c>
      <c r="R9" s="9">
        <f>VLOOKUP(A9,[1]NPL!$A$5:$H$119,3,FALSE)</f>
        <v>3181590.67</v>
      </c>
      <c r="S9" s="10">
        <f t="shared" si="6"/>
        <v>0.0588300721870308</v>
      </c>
      <c r="T9" s="9">
        <f>VLOOKUP(A9,[1]PAR!$A$5:$H$120,3,FALSE)</f>
        <v>5487002.36</v>
      </c>
    </row>
    <row r="10" spans="1:20">
      <c r="A10" s="6" t="s">
        <v>21</v>
      </c>
      <c r="B10" s="9">
        <f>VLOOKUP(A10,[1]ticket_pivot!$A$6:$V$127,2,FALSE)</f>
        <v>1293228.28</v>
      </c>
      <c r="C10" s="9">
        <f>VLOOKUP(A10,[1]ticket_pivot!$A$6:$V$127,3,FALSE)</f>
        <v>238812.25</v>
      </c>
      <c r="D10" s="10">
        <f t="shared" si="0"/>
        <v>0.184663646545063</v>
      </c>
      <c r="E10" s="9">
        <f>VLOOKUP(A10,[1]ticket_pivot!$A$6:$V$127,4,FALSE)</f>
        <v>238525.04</v>
      </c>
      <c r="F10" s="10">
        <f t="shared" si="1"/>
        <v>0.998797339751206</v>
      </c>
      <c r="G10" s="9">
        <f>VLOOKUP(A10,[1]Sheet12!$A$5:$G$125,2,FALSE)</f>
        <v>5600706.16</v>
      </c>
      <c r="H10" s="9">
        <f>VLOOKUP(A10,[1]NPL!$A$5:$H$119,2,FALSE)</f>
        <v>1289470.67</v>
      </c>
      <c r="I10" s="10">
        <f t="shared" si="2"/>
        <v>0.230233587187513</v>
      </c>
      <c r="J10" s="9">
        <f>VLOOKUP(A10,[1]PAR!$A$5:$H$120,2,FALSE)</f>
        <v>1968958.99</v>
      </c>
      <c r="K10" s="10">
        <f t="shared" si="3"/>
        <v>0.351555488495758</v>
      </c>
      <c r="L10" s="9">
        <f>VLOOKUP(A10,[1]ticket_pivot!$A$6:$V$127,5,FALSE)</f>
        <v>11515007.22</v>
      </c>
      <c r="M10" s="9">
        <f>VLOOKUP(A10,[1]ticket_pivot!$A$6:$V$127,6,FALSE)</f>
        <v>8708316.78</v>
      </c>
      <c r="N10" s="10">
        <f t="shared" si="4"/>
        <v>0.756258039063566</v>
      </c>
      <c r="O10" s="9">
        <f>VLOOKUP(A10,[1]ticket_pivot!$A$6:$V$127,7,FALSE)</f>
        <v>8554012.84</v>
      </c>
      <c r="P10" s="10">
        <f t="shared" si="5"/>
        <v>0.982280853591088</v>
      </c>
      <c r="Q10" s="9">
        <f>VLOOKUP(A10,[1]Sheet12!$A$5:$G$125,3,FALSE)</f>
        <v>68430804.14</v>
      </c>
      <c r="R10" s="9">
        <f>VLOOKUP(A10,[1]NPL!$A$5:$H$119,3,FALSE)</f>
        <v>2314783.37</v>
      </c>
      <c r="S10" s="10">
        <f t="shared" si="6"/>
        <v>0.0338266282135787</v>
      </c>
      <c r="T10" s="9">
        <f>VLOOKUP(A10,[1]PAR!$A$5:$H$120,3,FALSE)</f>
        <v>4116850.39</v>
      </c>
    </row>
    <row r="11" spans="1:20">
      <c r="A11" s="6" t="s">
        <v>22</v>
      </c>
      <c r="B11" s="9">
        <f>VLOOKUP(A11,[1]ticket_pivot!$A$6:$V$127,2,FALSE)</f>
        <v>417465.47</v>
      </c>
      <c r="C11" s="9">
        <f>VLOOKUP(A11,[1]ticket_pivot!$A$6:$V$127,3,FALSE)</f>
        <v>311145.96</v>
      </c>
      <c r="D11" s="10">
        <f t="shared" si="0"/>
        <v>0.745321427422488</v>
      </c>
      <c r="E11" s="9">
        <f>VLOOKUP(A11,[1]ticket_pivot!$A$6:$V$127,4,FALSE)</f>
        <v>292680.27</v>
      </c>
      <c r="F11" s="10">
        <f t="shared" si="1"/>
        <v>0.940652644180243</v>
      </c>
      <c r="G11" s="9">
        <f>VLOOKUP(A11,[1]Sheet12!$A$5:$G$125,2,FALSE)</f>
        <v>4902759.55</v>
      </c>
      <c r="H11" s="9">
        <f>VLOOKUP(A11,[1]NPL!$A$5:$H$119,2,FALSE)</f>
        <v>0</v>
      </c>
      <c r="I11" s="10">
        <f t="shared" si="2"/>
        <v>0</v>
      </c>
      <c r="J11" s="9">
        <f>VLOOKUP(A11,[1]PAR!$A$5:$H$120,2,FALSE)</f>
        <v>222118.55</v>
      </c>
      <c r="K11" s="10">
        <f t="shared" si="3"/>
        <v>0.0453048018640849</v>
      </c>
      <c r="L11" s="9">
        <f>VLOOKUP(A11,[1]ticket_pivot!$A$6:$V$127,5,FALSE)</f>
        <v>9885760.33</v>
      </c>
      <c r="M11" s="9">
        <f>VLOOKUP(A11,[1]ticket_pivot!$A$6:$V$127,6,FALSE)</f>
        <v>8032715.68</v>
      </c>
      <c r="N11" s="10">
        <f t="shared" si="4"/>
        <v>0.812554159908508</v>
      </c>
      <c r="O11" s="9">
        <f>VLOOKUP(A11,[1]ticket_pivot!$A$6:$V$127,7,FALSE)</f>
        <v>7906532.96</v>
      </c>
      <c r="P11" s="10">
        <f t="shared" si="5"/>
        <v>0.984291399692613</v>
      </c>
      <c r="Q11" s="9">
        <f>VLOOKUP(A11,[1]Sheet12!$A$5:$G$125,3,FALSE)</f>
        <v>76593412.38</v>
      </c>
      <c r="R11" s="9">
        <f>VLOOKUP(A11,[1]NPL!$A$5:$H$119,3,FALSE)</f>
        <v>1929247.23</v>
      </c>
      <c r="S11" s="10">
        <f t="shared" si="6"/>
        <v>0.0251881613581661</v>
      </c>
      <c r="T11" s="9">
        <f>VLOOKUP(A11,[1]PAR!$A$5:$H$120,3,FALSE)</f>
        <v>3074449.86</v>
      </c>
    </row>
    <row r="12" spans="1:20">
      <c r="A12" s="6" t="s">
        <v>23</v>
      </c>
      <c r="B12" s="9">
        <f>VLOOKUP(A12,[1]ticket_pivot!$A$6:$V$127,2,FALSE)</f>
        <v>0</v>
      </c>
      <c r="C12" s="9">
        <f>VLOOKUP(A12,[1]ticket_pivot!$A$6:$V$127,3,FALSE)</f>
        <v>0</v>
      </c>
      <c r="D12" s="10" t="str">
        <f t="shared" si="0"/>
        <v/>
      </c>
      <c r="E12" s="9">
        <f>VLOOKUP(A12,[1]ticket_pivot!$A$6:$V$127,4,FALSE)</f>
        <v>0</v>
      </c>
      <c r="F12" s="10" t="str">
        <f t="shared" si="1"/>
        <v/>
      </c>
      <c r="G12" s="9">
        <f>VLOOKUP(A12,[1]Sheet12!$A$5:$G$125,2,FALSE)</f>
        <v>0</v>
      </c>
      <c r="H12" s="9"/>
      <c r="I12" s="10" t="str">
        <f t="shared" si="2"/>
        <v/>
      </c>
      <c r="J12" s="9"/>
      <c r="K12" s="10" t="str">
        <f t="shared" si="3"/>
        <v/>
      </c>
      <c r="L12" s="9">
        <f>VLOOKUP(A12,[1]ticket_pivot!$A$6:$V$127,5,FALSE)</f>
        <v>98644.45</v>
      </c>
      <c r="M12" s="9">
        <f>VLOOKUP(A12,[1]ticket_pivot!$A$6:$V$127,6,FALSE)</f>
        <v>0</v>
      </c>
      <c r="N12" s="10">
        <f t="shared" si="4"/>
        <v>0</v>
      </c>
      <c r="O12" s="9">
        <f>VLOOKUP(A12,[1]ticket_pivot!$A$6:$V$127,7,FALSE)</f>
        <v>0</v>
      </c>
      <c r="P12" s="10" t="str">
        <f t="shared" si="5"/>
        <v/>
      </c>
      <c r="Q12" s="9">
        <f>VLOOKUP(A12,[1]Sheet12!$A$5:$G$125,3,FALSE)</f>
        <v>0</v>
      </c>
      <c r="R12" s="9"/>
      <c r="S12" s="10" t="str">
        <f t="shared" si="6"/>
        <v/>
      </c>
      <c r="T12" s="9"/>
    </row>
    <row r="13" spans="1:20">
      <c r="A13" s="11" t="s">
        <v>24</v>
      </c>
      <c r="B13" s="12">
        <f>SUM(B8:B12)</f>
        <v>2739191.31</v>
      </c>
      <c r="C13" s="12">
        <f t="shared" ref="C13:T13" si="8">SUM(C8:C12)</f>
        <v>1009864.4</v>
      </c>
      <c r="D13" s="13">
        <f t="shared" si="0"/>
        <v>0.368672460486157</v>
      </c>
      <c r="E13" s="12">
        <f t="shared" si="8"/>
        <v>990833.09</v>
      </c>
      <c r="F13" s="13">
        <f t="shared" si="1"/>
        <v>0.98115458867547</v>
      </c>
      <c r="G13" s="12">
        <f t="shared" si="8"/>
        <v>17243949.96</v>
      </c>
      <c r="H13" s="12">
        <f t="shared" si="8"/>
        <v>1370821.91</v>
      </c>
      <c r="I13" s="13">
        <f t="shared" si="2"/>
        <v>0.0794958181379459</v>
      </c>
      <c r="J13" s="12">
        <f t="shared" si="8"/>
        <v>3321628.85</v>
      </c>
      <c r="K13" s="13">
        <f t="shared" si="3"/>
        <v>0.192625753247083</v>
      </c>
      <c r="L13" s="12">
        <f t="shared" si="8"/>
        <v>40957018.78</v>
      </c>
      <c r="M13" s="12">
        <f t="shared" si="8"/>
        <v>29244601.54</v>
      </c>
      <c r="N13" s="13">
        <f t="shared" si="4"/>
        <v>0.71403149963348</v>
      </c>
      <c r="O13" s="12">
        <f t="shared" si="8"/>
        <v>28242316.3</v>
      </c>
      <c r="P13" s="13">
        <f t="shared" si="5"/>
        <v>0.965727512524693</v>
      </c>
      <c r="Q13" s="12">
        <f t="shared" si="8"/>
        <v>274005406.58</v>
      </c>
      <c r="R13" s="12">
        <f t="shared" si="8"/>
        <v>12331807.88</v>
      </c>
      <c r="S13" s="13">
        <f t="shared" si="6"/>
        <v>0.0450057100475481</v>
      </c>
      <c r="T13" s="12">
        <f t="shared" si="8"/>
        <v>25150886.9</v>
      </c>
    </row>
    <row r="14" spans="1:20">
      <c r="A14" s="14" t="s">
        <v>25</v>
      </c>
      <c r="B14" s="15">
        <f>SUM(B13,B7)</f>
        <v>5624350.45</v>
      </c>
      <c r="C14" s="15">
        <f>SUM(C13,C7)</f>
        <v>2267110.78</v>
      </c>
      <c r="D14" s="16">
        <f t="shared" si="0"/>
        <v>0.403088463308683</v>
      </c>
      <c r="E14" s="15">
        <f t="shared" ref="E14:T14" si="9">SUM(E13,E7)</f>
        <v>2245969.6</v>
      </c>
      <c r="F14" s="16">
        <f t="shared" si="1"/>
        <v>0.990674835924868</v>
      </c>
      <c r="G14" s="15">
        <f t="shared" si="9"/>
        <v>40178639.28</v>
      </c>
      <c r="H14" s="15">
        <f t="shared" si="9"/>
        <v>2634779.66</v>
      </c>
      <c r="I14" s="16">
        <f t="shared" si="2"/>
        <v>0.0655766274621334</v>
      </c>
      <c r="J14" s="15">
        <f t="shared" si="9"/>
        <v>6525016.62</v>
      </c>
      <c r="K14" s="16">
        <f t="shared" si="3"/>
        <v>0.162400139400639</v>
      </c>
      <c r="L14" s="15">
        <f t="shared" si="9"/>
        <v>67250564.01</v>
      </c>
      <c r="M14" s="15">
        <f t="shared" si="9"/>
        <v>45236419.08</v>
      </c>
      <c r="N14" s="16">
        <f t="shared" si="4"/>
        <v>0.67265486536698</v>
      </c>
      <c r="O14" s="15">
        <f t="shared" si="9"/>
        <v>43672827.66</v>
      </c>
      <c r="P14" s="16">
        <f t="shared" si="5"/>
        <v>0.965435119494432</v>
      </c>
      <c r="Q14" s="15">
        <f t="shared" si="9"/>
        <v>412134170.14</v>
      </c>
      <c r="R14" s="15">
        <f t="shared" si="9"/>
        <v>23119024.17</v>
      </c>
      <c r="S14" s="16">
        <f t="shared" si="6"/>
        <v>0.0560958683968053</v>
      </c>
      <c r="T14" s="15">
        <f t="shared" si="9"/>
        <v>43881426.28</v>
      </c>
    </row>
    <row r="15" spans="1:20">
      <c r="A15" s="6" t="s">
        <v>26</v>
      </c>
      <c r="B15" s="9">
        <f>VLOOKUP(A15,[1]ticket_pivot!$A$6:$V$127,2,FALSE)</f>
        <v>198315.63</v>
      </c>
      <c r="C15" s="9">
        <f>VLOOKUP(A15,[1]ticket_pivot!$A$6:$V$127,3,FALSE)</f>
        <v>198631.66</v>
      </c>
      <c r="D15" s="10">
        <f t="shared" si="0"/>
        <v>1.00159357081436</v>
      </c>
      <c r="E15" s="9">
        <f>VLOOKUP(A15,[1]ticket_pivot!$A$6:$V$127,4,FALSE)</f>
        <v>198315.63</v>
      </c>
      <c r="F15" s="10">
        <f t="shared" si="1"/>
        <v>0.998408964613194</v>
      </c>
      <c r="G15" s="9">
        <f>VLOOKUP(A15,[1]Sheet12!$A$5:$G$125,2,FALSE)</f>
        <v>3105506.82</v>
      </c>
      <c r="H15" s="9"/>
      <c r="I15" s="10">
        <f t="shared" si="2"/>
        <v>0</v>
      </c>
      <c r="J15" s="9"/>
      <c r="K15" s="10">
        <f t="shared" si="3"/>
        <v>0</v>
      </c>
      <c r="L15" s="9">
        <f>VLOOKUP(A15,[1]ticket_pivot!$A$6:$V$127,5,FALSE)</f>
        <v>2569606.72</v>
      </c>
      <c r="M15" s="9">
        <f>VLOOKUP(A15,[1]ticket_pivot!$A$6:$V$127,6,FALSE)</f>
        <v>2425379.42</v>
      </c>
      <c r="N15" s="10">
        <f t="shared" si="4"/>
        <v>0.94387183887813</v>
      </c>
      <c r="O15" s="9">
        <f>VLOOKUP(A15,[1]ticket_pivot!$A$6:$V$127,7,FALSE)</f>
        <v>2423903.49</v>
      </c>
      <c r="P15" s="10">
        <f t="shared" si="5"/>
        <v>0.999391464284792</v>
      </c>
      <c r="Q15" s="9">
        <f>VLOOKUP(A15,[1]Sheet12!$A$5:$G$125,3,FALSE)</f>
        <v>0</v>
      </c>
      <c r="R15" s="9"/>
      <c r="S15" s="10" t="str">
        <f t="shared" si="6"/>
        <v/>
      </c>
      <c r="T15" s="9"/>
    </row>
    <row r="16" spans="1:20">
      <c r="A16" s="6" t="s">
        <v>27</v>
      </c>
      <c r="B16" s="9">
        <f>VLOOKUP(A16,[1]ticket_pivot!$A$6:$V$127,2,FALSE)</f>
        <v>1256099.4</v>
      </c>
      <c r="C16" s="9">
        <f>VLOOKUP(A16,[1]ticket_pivot!$A$6:$V$127,3,FALSE)</f>
        <v>185438.31</v>
      </c>
      <c r="D16" s="10">
        <f t="shared" si="0"/>
        <v>0.1476302830811</v>
      </c>
      <c r="E16" s="9">
        <f>VLOOKUP(A16,[1]ticket_pivot!$A$6:$V$127,4,FALSE)</f>
        <v>183984.51</v>
      </c>
      <c r="F16" s="10">
        <f t="shared" si="1"/>
        <v>0.99216019602422</v>
      </c>
      <c r="G16" s="9">
        <f>VLOOKUP(A16,[1]Sheet12!$A$5:$G$125,2,FALSE)</f>
        <v>4021086.89</v>
      </c>
      <c r="H16" s="9">
        <f>VLOOKUP(A16,[1]NPL!$A$5:$H$119,2,FALSE)</f>
        <v>1053598.61</v>
      </c>
      <c r="I16" s="10">
        <f t="shared" si="2"/>
        <v>0.262018364393016</v>
      </c>
      <c r="J16" s="9">
        <f>VLOOKUP(A16,[1]PAR!$A$5:$H$120,2,FALSE)</f>
        <v>1053598.61</v>
      </c>
      <c r="K16" s="10">
        <f t="shared" si="3"/>
        <v>0.262018364393016</v>
      </c>
      <c r="L16" s="9">
        <f>VLOOKUP(A16,[1]ticket_pivot!$A$6:$V$127,5,FALSE)</f>
        <v>28110783.92</v>
      </c>
      <c r="M16" s="9">
        <f>VLOOKUP(A16,[1]ticket_pivot!$A$6:$V$127,6,FALSE)</f>
        <v>19994691.29</v>
      </c>
      <c r="N16" s="10">
        <f t="shared" si="4"/>
        <v>0.711281881960409</v>
      </c>
      <c r="O16" s="9">
        <f>VLOOKUP(A16,[1]ticket_pivot!$A$6:$V$127,7,FALSE)</f>
        <v>18893758.42</v>
      </c>
      <c r="P16" s="10">
        <f t="shared" si="5"/>
        <v>0.944938741287263</v>
      </c>
      <c r="Q16" s="9">
        <f>VLOOKUP(A16,[1]Sheet12!$A$5:$G$125,3,FALSE)</f>
        <v>41921593.54</v>
      </c>
      <c r="R16" s="9">
        <f>VLOOKUP(A16,[1]NPL!$A$5:$H$119,3,FALSE)</f>
        <v>5695289.45</v>
      </c>
      <c r="S16" s="10">
        <f t="shared" si="6"/>
        <v>0.13585574805418</v>
      </c>
      <c r="T16" s="9">
        <f>VLOOKUP(A16,[1]PAR!$A$5:$H$120,3,FALSE)</f>
        <v>11916900.55</v>
      </c>
    </row>
    <row r="17" spans="1:20">
      <c r="A17" s="6" t="s">
        <v>28</v>
      </c>
      <c r="B17" s="9">
        <f>VLOOKUP(A17,[1]ticket_pivot!$A$6:$V$127,2,FALSE)</f>
        <v>0</v>
      </c>
      <c r="C17" s="9">
        <f>VLOOKUP(A17,[1]ticket_pivot!$A$6:$V$127,3,FALSE)</f>
        <v>0</v>
      </c>
      <c r="D17" s="10" t="str">
        <f t="shared" si="0"/>
        <v/>
      </c>
      <c r="E17" s="9">
        <f>VLOOKUP(A17,[1]ticket_pivot!$A$6:$V$127,4,FALSE)</f>
        <v>0</v>
      </c>
      <c r="F17" s="10" t="str">
        <f t="shared" si="1"/>
        <v/>
      </c>
      <c r="G17" s="9">
        <f>VLOOKUP(A17,[1]Sheet12!$A$5:$G$125,2,FALSE)</f>
        <v>0</v>
      </c>
      <c r="H17" s="9"/>
      <c r="I17" s="10" t="str">
        <f t="shared" si="2"/>
        <v/>
      </c>
      <c r="J17" s="9"/>
      <c r="K17" s="10" t="str">
        <f t="shared" si="3"/>
        <v/>
      </c>
      <c r="L17" s="9">
        <f>VLOOKUP(A17,[1]ticket_pivot!$A$6:$V$127,5,FALSE)</f>
        <v>3601126.21</v>
      </c>
      <c r="M17" s="9">
        <f>VLOOKUP(A17,[1]ticket_pivot!$A$6:$V$127,6,FALSE)</f>
        <v>3190027.1</v>
      </c>
      <c r="N17" s="10">
        <f t="shared" si="4"/>
        <v>0.885841515674065</v>
      </c>
      <c r="O17" s="9">
        <f>VLOOKUP(A17,[1]ticket_pivot!$A$6:$V$127,7,FALSE)</f>
        <v>3187217.79</v>
      </c>
      <c r="P17" s="10">
        <f t="shared" si="5"/>
        <v>0.999119346039411</v>
      </c>
      <c r="Q17" s="9">
        <f>VLOOKUP(A17,[1]Sheet12!$A$5:$G$125,3,FALSE)</f>
        <v>14067569.85</v>
      </c>
      <c r="R17" s="9"/>
      <c r="S17" s="10">
        <f t="shared" si="6"/>
        <v>0</v>
      </c>
      <c r="T17" s="9"/>
    </row>
    <row r="18" spans="1:20">
      <c r="A18" s="11" t="s">
        <v>29</v>
      </c>
      <c r="B18" s="12">
        <f>SUM(B15:B17)</f>
        <v>1454415.03</v>
      </c>
      <c r="C18" s="12">
        <f t="shared" ref="C18:T18" si="10">SUM(C15:C17)</f>
        <v>384069.97</v>
      </c>
      <c r="D18" s="13">
        <f t="shared" si="0"/>
        <v>0.264071782866545</v>
      </c>
      <c r="E18" s="12">
        <f t="shared" si="10"/>
        <v>382300.14</v>
      </c>
      <c r="F18" s="13">
        <f t="shared" si="1"/>
        <v>0.995391907365213</v>
      </c>
      <c r="G18" s="12">
        <f t="shared" si="10"/>
        <v>7126593.71</v>
      </c>
      <c r="H18" s="12">
        <f t="shared" si="10"/>
        <v>1053598.61</v>
      </c>
      <c r="I18" s="13">
        <f t="shared" si="2"/>
        <v>0.147840420385071</v>
      </c>
      <c r="J18" s="12">
        <f t="shared" si="10"/>
        <v>1053598.61</v>
      </c>
      <c r="K18" s="13">
        <f t="shared" si="3"/>
        <v>0.147840420385071</v>
      </c>
      <c r="L18" s="12">
        <f t="shared" si="10"/>
        <v>34281516.85</v>
      </c>
      <c r="M18" s="12">
        <f t="shared" si="10"/>
        <v>25610097.81</v>
      </c>
      <c r="N18" s="13">
        <f t="shared" si="4"/>
        <v>0.747052644200603</v>
      </c>
      <c r="O18" s="12">
        <f t="shared" si="10"/>
        <v>24504879.7</v>
      </c>
      <c r="P18" s="13">
        <f t="shared" si="5"/>
        <v>0.956844440103293</v>
      </c>
      <c r="Q18" s="12">
        <f t="shared" si="10"/>
        <v>55989163.39</v>
      </c>
      <c r="R18" s="12">
        <f t="shared" si="10"/>
        <v>5695289.45</v>
      </c>
      <c r="S18" s="13">
        <f t="shared" si="6"/>
        <v>0.101721281497434</v>
      </c>
      <c r="T18" s="12">
        <f t="shared" si="10"/>
        <v>11916900.55</v>
      </c>
    </row>
    <row r="19" spans="1:20">
      <c r="A19" s="14" t="s">
        <v>30</v>
      </c>
      <c r="B19" s="15">
        <f>B18</f>
        <v>1454415.03</v>
      </c>
      <c r="C19" s="15">
        <f t="shared" ref="C19:T19" si="11">C18</f>
        <v>384069.97</v>
      </c>
      <c r="D19" s="16">
        <f t="shared" si="0"/>
        <v>0.264071782866545</v>
      </c>
      <c r="E19" s="15">
        <f t="shared" si="11"/>
        <v>382300.14</v>
      </c>
      <c r="F19" s="16">
        <f t="shared" si="1"/>
        <v>0.995391907365213</v>
      </c>
      <c r="G19" s="15">
        <f t="shared" si="11"/>
        <v>7126593.71</v>
      </c>
      <c r="H19" s="15">
        <f t="shared" si="11"/>
        <v>1053598.61</v>
      </c>
      <c r="I19" s="16">
        <f t="shared" si="2"/>
        <v>0.147840420385071</v>
      </c>
      <c r="J19" s="15">
        <f t="shared" si="11"/>
        <v>1053598.61</v>
      </c>
      <c r="K19" s="16">
        <f t="shared" si="3"/>
        <v>0.147840420385071</v>
      </c>
      <c r="L19" s="15">
        <f t="shared" si="11"/>
        <v>34281516.85</v>
      </c>
      <c r="M19" s="15">
        <f t="shared" si="11"/>
        <v>25610097.81</v>
      </c>
      <c r="N19" s="16">
        <f t="shared" si="4"/>
        <v>0.747052644200603</v>
      </c>
      <c r="O19" s="15">
        <f t="shared" si="11"/>
        <v>24504879.7</v>
      </c>
      <c r="P19" s="16">
        <f t="shared" si="5"/>
        <v>0.956844440103293</v>
      </c>
      <c r="Q19" s="15">
        <f>Q18</f>
        <v>55989163.39</v>
      </c>
      <c r="R19" s="15">
        <f t="shared" si="11"/>
        <v>5695289.45</v>
      </c>
      <c r="S19" s="16">
        <f t="shared" si="6"/>
        <v>0.101721281497434</v>
      </c>
      <c r="T19" s="15">
        <f t="shared" si="11"/>
        <v>11916900.55</v>
      </c>
    </row>
    <row r="20" spans="1:20">
      <c r="A20" s="6" t="s">
        <v>31</v>
      </c>
      <c r="B20" s="9">
        <f>VLOOKUP(A20,[1]ticket_pivot!$A$6:$V$127,2,FALSE)</f>
        <v>3954834.64</v>
      </c>
      <c r="C20" s="9">
        <f>VLOOKUP(A20,[1]ticket_pivot!$A$6:$V$127,3,FALSE)</f>
        <v>1185792.03</v>
      </c>
      <c r="D20" s="10">
        <f t="shared" ref="D20:D83" si="12">IFERROR(C20/B20,"")</f>
        <v>0.299833529828696</v>
      </c>
      <c r="E20" s="9">
        <f>VLOOKUP(A20,[1]ticket_pivot!$A$6:$V$127,4,FALSE)</f>
        <v>1174203.06</v>
      </c>
      <c r="F20" s="10">
        <f t="shared" ref="F20:F83" si="13">IFERROR(E20/C20,"")</f>
        <v>0.990226810682814</v>
      </c>
      <c r="G20" s="9">
        <f>VLOOKUP(A20,[1]Sheet12!$A$5:$G$125,2,FALSE)</f>
        <v>19160803.96</v>
      </c>
      <c r="H20" s="9">
        <f>VLOOKUP(A20,[1]NPL!$A$5:$H$119,2,FALSE)</f>
        <v>2220455.8</v>
      </c>
      <c r="I20" s="10">
        <f t="shared" ref="I20:I83" si="14">IFERROR(H20/G20,"")</f>
        <v>0.115885314866506</v>
      </c>
      <c r="J20" s="9">
        <f>VLOOKUP(A20,[1]PAR!$A$5:$H$120,2,FALSE)</f>
        <v>4393416.61</v>
      </c>
      <c r="K20" s="10">
        <f t="shared" ref="K20:K83" si="15">IFERROR(J20/G20,"")</f>
        <v>0.22929187205149</v>
      </c>
      <c r="L20" s="9">
        <f>VLOOKUP(A20,[1]ticket_pivot!$A$6:$V$127,5,FALSE)</f>
        <v>9310643.15</v>
      </c>
      <c r="M20" s="9">
        <f>VLOOKUP(A20,[1]ticket_pivot!$A$6:$V$127,6,FALSE)</f>
        <v>5401991.94</v>
      </c>
      <c r="N20" s="10">
        <f t="shared" ref="N20:N83" si="16">IFERROR(M20/L20,"")</f>
        <v>0.580195358469946</v>
      </c>
      <c r="O20" s="9">
        <f>VLOOKUP(A20,[1]ticket_pivot!$A$6:$V$127,7,FALSE)</f>
        <v>5341799.37</v>
      </c>
      <c r="P20" s="10">
        <f t="shared" ref="P20:P83" si="17">IFERROR(O20/M20,"")</f>
        <v>0.988857338058154</v>
      </c>
      <c r="Q20" s="9">
        <f>VLOOKUP(A20,[1]Sheet12!$A$5:$G$125,3,FALSE)</f>
        <v>16663768.01</v>
      </c>
      <c r="R20" s="9">
        <f>VLOOKUP(A20,[1]NPL!$A$5:$H$119,3,FALSE)</f>
        <v>2228773.1</v>
      </c>
      <c r="S20" s="10">
        <f t="shared" ref="S20:S83" si="18">IFERROR(R20/Q20,"")</f>
        <v>0.133749647658471</v>
      </c>
      <c r="T20" s="9">
        <f>VLOOKUP(A20,[1]PAR!$A$5:$H$120,3,FALSE)</f>
        <v>5645322.01</v>
      </c>
    </row>
    <row r="21" spans="1:20">
      <c r="A21" s="6" t="s">
        <v>32</v>
      </c>
      <c r="B21" s="9">
        <f>VLOOKUP(A21,[1]ticket_pivot!$A$6:$V$127,2,FALSE)</f>
        <v>1826470.01</v>
      </c>
      <c r="C21" s="9">
        <f>VLOOKUP(A21,[1]ticket_pivot!$A$6:$V$127,3,FALSE)</f>
        <v>1375981.75</v>
      </c>
      <c r="D21" s="10">
        <f t="shared" si="12"/>
        <v>0.753355786006035</v>
      </c>
      <c r="E21" s="9">
        <f>VLOOKUP(A21,[1]ticket_pivot!$A$6:$V$127,4,FALSE)</f>
        <v>1331318.27</v>
      </c>
      <c r="F21" s="10">
        <f t="shared" si="13"/>
        <v>0.967540645070329</v>
      </c>
      <c r="G21" s="9">
        <f>VLOOKUP(A21,[1]Sheet12!$A$5:$G$125,2,FALSE)</f>
        <v>14781739.42</v>
      </c>
      <c r="H21" s="9">
        <f>VLOOKUP(A21,[1]NPL!$A$5:$H$119,2,FALSE)</f>
        <v>635150.73</v>
      </c>
      <c r="I21" s="10">
        <f t="shared" si="14"/>
        <v>0.0429686055174689</v>
      </c>
      <c r="J21" s="9">
        <f>VLOOKUP(A21,[1]PAR!$A$5:$H$120,2,FALSE)</f>
        <v>941649.35</v>
      </c>
      <c r="K21" s="10">
        <f t="shared" si="15"/>
        <v>0.0637035549906886</v>
      </c>
      <c r="L21" s="9">
        <f>VLOOKUP(A21,[1]ticket_pivot!$A$6:$V$127,5,FALSE)</f>
        <v>8376380.26</v>
      </c>
      <c r="M21" s="9">
        <f>VLOOKUP(A21,[1]ticket_pivot!$A$6:$V$127,6,FALSE)</f>
        <v>7441083.62</v>
      </c>
      <c r="N21" s="10">
        <f t="shared" si="16"/>
        <v>0.888341191425328</v>
      </c>
      <c r="O21" s="9">
        <f>VLOOKUP(A21,[1]ticket_pivot!$A$6:$V$127,7,FALSE)</f>
        <v>6976968.84</v>
      </c>
      <c r="P21" s="10">
        <f t="shared" si="17"/>
        <v>0.93762806552092</v>
      </c>
      <c r="Q21" s="9">
        <f>VLOOKUP(A21,[1]Sheet12!$A$5:$G$125,3,FALSE)</f>
        <v>88028637.15</v>
      </c>
      <c r="R21" s="9">
        <f>VLOOKUP(A21,[1]NPL!$A$5:$H$119,3,FALSE)</f>
        <v>202404.47</v>
      </c>
      <c r="S21" s="10">
        <f t="shared" si="18"/>
        <v>0.00229930255145385</v>
      </c>
      <c r="T21" s="9">
        <f>VLOOKUP(A21,[1]PAR!$A$5:$H$120,3,FALSE)</f>
        <v>2049102.51</v>
      </c>
    </row>
    <row r="22" spans="1:20">
      <c r="A22" s="6" t="s">
        <v>33</v>
      </c>
      <c r="B22" s="9">
        <f>VLOOKUP(A22,[1]ticket_pivot!$A$6:$V$127,2,FALSE)</f>
        <v>2726318.84</v>
      </c>
      <c r="C22" s="9">
        <f>VLOOKUP(A22,[1]ticket_pivot!$A$6:$V$127,3,FALSE)</f>
        <v>1697074.01</v>
      </c>
      <c r="D22" s="10">
        <f t="shared" si="12"/>
        <v>0.622478187474213</v>
      </c>
      <c r="E22" s="9">
        <f>VLOOKUP(A22,[1]ticket_pivot!$A$6:$V$127,4,FALSE)</f>
        <v>1624770.28</v>
      </c>
      <c r="F22" s="10">
        <f t="shared" si="13"/>
        <v>0.957395063754467</v>
      </c>
      <c r="G22" s="9">
        <f>VLOOKUP(A22,[1]Sheet12!$A$5:$G$125,2,FALSE)</f>
        <v>19720816.23</v>
      </c>
      <c r="H22" s="9">
        <f>VLOOKUP(A22,[1]NPL!$A$5:$H$119,2,FALSE)</f>
        <v>473106.7</v>
      </c>
      <c r="I22" s="10">
        <f t="shared" si="14"/>
        <v>0.0239902189890241</v>
      </c>
      <c r="J22" s="9">
        <f>VLOOKUP(A22,[1]PAR!$A$5:$H$120,2,FALSE)</f>
        <v>1172045.62</v>
      </c>
      <c r="K22" s="10">
        <f t="shared" si="15"/>
        <v>0.0594319021246719</v>
      </c>
      <c r="L22" s="9">
        <f>VLOOKUP(A22,[1]ticket_pivot!$A$6:$V$127,5,FALSE)</f>
        <v>9096342.8</v>
      </c>
      <c r="M22" s="9">
        <f>VLOOKUP(A22,[1]ticket_pivot!$A$6:$V$127,6,FALSE)</f>
        <v>6886389.5</v>
      </c>
      <c r="N22" s="10">
        <f t="shared" si="16"/>
        <v>0.757050349949432</v>
      </c>
      <c r="O22" s="9">
        <f>VLOOKUP(A22,[1]ticket_pivot!$A$6:$V$127,7,FALSE)</f>
        <v>6667258.83</v>
      </c>
      <c r="P22" s="10">
        <f t="shared" si="17"/>
        <v>0.968179164132381</v>
      </c>
      <c r="Q22" s="9">
        <f>VLOOKUP(A22,[1]Sheet12!$A$5:$G$125,3,FALSE)</f>
        <v>39520529.03</v>
      </c>
      <c r="R22" s="9">
        <f>VLOOKUP(A22,[1]NPL!$A$5:$H$119,3,FALSE)</f>
        <v>1947525.24</v>
      </c>
      <c r="S22" s="10">
        <f t="shared" si="18"/>
        <v>0.0492788251524071</v>
      </c>
      <c r="T22" s="9">
        <f>VLOOKUP(A22,[1]PAR!$A$5:$H$120,3,FALSE)</f>
        <v>3879746.52</v>
      </c>
    </row>
    <row r="23" spans="1:20">
      <c r="A23" s="6" t="s">
        <v>34</v>
      </c>
      <c r="B23" s="9">
        <f>VLOOKUP(A23,[1]ticket_pivot!$A$6:$V$127,2,FALSE)</f>
        <v>3862400.35</v>
      </c>
      <c r="C23" s="9">
        <f>VLOOKUP(A23,[1]ticket_pivot!$A$6:$V$127,3,FALSE)</f>
        <v>685428.21</v>
      </c>
      <c r="D23" s="10">
        <f t="shared" si="12"/>
        <v>0.177461720145091</v>
      </c>
      <c r="E23" s="9">
        <f>VLOOKUP(A23,[1]ticket_pivot!$A$6:$V$127,4,FALSE)</f>
        <v>684637.21</v>
      </c>
      <c r="F23" s="10">
        <f t="shared" si="13"/>
        <v>0.998845976882101</v>
      </c>
      <c r="G23" s="9">
        <f>VLOOKUP(A23,[1]Sheet12!$A$5:$G$125,2,FALSE)</f>
        <v>10882700.17</v>
      </c>
      <c r="H23" s="9">
        <f>VLOOKUP(A23,[1]NPL!$A$5:$H$119,2,FALSE)</f>
        <v>3339052.98</v>
      </c>
      <c r="I23" s="10">
        <f t="shared" si="14"/>
        <v>0.306822105528981</v>
      </c>
      <c r="J23" s="9">
        <f>VLOOKUP(A23,[1]PAR!$A$5:$H$120,2,FALSE)</f>
        <v>3522649.7</v>
      </c>
      <c r="K23" s="10">
        <f t="shared" si="15"/>
        <v>0.323692617178849</v>
      </c>
      <c r="L23" s="9">
        <f>VLOOKUP(A23,[1]ticket_pivot!$A$6:$V$127,5,FALSE)</f>
        <v>9376415.36</v>
      </c>
      <c r="M23" s="9">
        <f>VLOOKUP(A23,[1]ticket_pivot!$A$6:$V$127,6,FALSE)</f>
        <v>4681442.66</v>
      </c>
      <c r="N23" s="10">
        <f t="shared" si="16"/>
        <v>0.499278506791747</v>
      </c>
      <c r="O23" s="9">
        <f>VLOOKUP(A23,[1]ticket_pivot!$A$6:$V$127,7,FALSE)</f>
        <v>4451955.63</v>
      </c>
      <c r="P23" s="10">
        <f t="shared" si="17"/>
        <v>0.950979420946277</v>
      </c>
      <c r="Q23" s="9">
        <f>VLOOKUP(A23,[1]Sheet12!$A$5:$G$125,3,FALSE)</f>
        <v>43390848.09</v>
      </c>
      <c r="R23" s="9">
        <f>VLOOKUP(A23,[1]NPL!$A$5:$H$119,3,FALSE)</f>
        <v>5742304.82</v>
      </c>
      <c r="S23" s="10">
        <f t="shared" si="18"/>
        <v>0.132339077772564</v>
      </c>
      <c r="T23" s="9">
        <f>VLOOKUP(A23,[1]PAR!$A$5:$H$120,3,FALSE)</f>
        <v>6778227.9</v>
      </c>
    </row>
    <row r="24" spans="1:20">
      <c r="A24" s="11" t="s">
        <v>35</v>
      </c>
      <c r="B24" s="12">
        <f>SUM(B20:B23)</f>
        <v>12370023.84</v>
      </c>
      <c r="C24" s="12">
        <f t="shared" ref="C24:T24" si="19">SUM(C20:C23)</f>
        <v>4944276</v>
      </c>
      <c r="D24" s="13">
        <f t="shared" si="12"/>
        <v>0.399698178754682</v>
      </c>
      <c r="E24" s="12">
        <f t="shared" si="19"/>
        <v>4814928.82</v>
      </c>
      <c r="F24" s="13">
        <f t="shared" si="13"/>
        <v>0.973839004942281</v>
      </c>
      <c r="G24" s="12">
        <f t="shared" si="19"/>
        <v>64546059.78</v>
      </c>
      <c r="H24" s="12">
        <f t="shared" si="19"/>
        <v>6667766.21</v>
      </c>
      <c r="I24" s="13">
        <f t="shared" si="14"/>
        <v>0.103302451500937</v>
      </c>
      <c r="J24" s="12">
        <f t="shared" si="19"/>
        <v>10029761.28</v>
      </c>
      <c r="K24" s="13">
        <f t="shared" si="15"/>
        <v>0.155389210653379</v>
      </c>
      <c r="L24" s="12">
        <f t="shared" si="19"/>
        <v>36159781.57</v>
      </c>
      <c r="M24" s="12">
        <f t="shared" si="19"/>
        <v>24410907.72</v>
      </c>
      <c r="N24" s="13">
        <f t="shared" si="16"/>
        <v>0.67508449056154</v>
      </c>
      <c r="O24" s="12">
        <f t="shared" si="19"/>
        <v>23437982.67</v>
      </c>
      <c r="P24" s="13">
        <f t="shared" si="17"/>
        <v>0.96014383974739</v>
      </c>
      <c r="Q24" s="12">
        <f t="shared" si="19"/>
        <v>187603782.28</v>
      </c>
      <c r="R24" s="12">
        <f t="shared" si="19"/>
        <v>10121007.63</v>
      </c>
      <c r="S24" s="13">
        <f t="shared" si="18"/>
        <v>0.0539488463771712</v>
      </c>
      <c r="T24" s="12">
        <f t="shared" si="19"/>
        <v>18352398.94</v>
      </c>
    </row>
    <row r="25" spans="1:20">
      <c r="A25" s="6" t="s">
        <v>36</v>
      </c>
      <c r="B25" s="9">
        <f>VLOOKUP(A25,[1]ticket_pivot!$A$6:$V$127,2,FALSE)</f>
        <v>2635416.74</v>
      </c>
      <c r="C25" s="9">
        <f>VLOOKUP(A25,[1]ticket_pivot!$A$6:$V$127,3,FALSE)</f>
        <v>2121363.72</v>
      </c>
      <c r="D25" s="10">
        <f t="shared" si="12"/>
        <v>0.804944314044237</v>
      </c>
      <c r="E25" s="9">
        <f>VLOOKUP(A25,[1]ticket_pivot!$A$6:$V$127,4,FALSE)</f>
        <v>2120063.79</v>
      </c>
      <c r="F25" s="10">
        <f t="shared" si="13"/>
        <v>0.999387219651329</v>
      </c>
      <c r="G25" s="9">
        <f>VLOOKUP(A25,[1]Sheet12!$A$5:$G$125,2,FALSE)</f>
        <v>22227874.76</v>
      </c>
      <c r="H25" s="9">
        <f>VLOOKUP(A25,[1]NPL!$A$5:$H$119,2,FALSE)</f>
        <v>332835.03</v>
      </c>
      <c r="I25" s="10">
        <f t="shared" si="14"/>
        <v>0.0149737675595937</v>
      </c>
      <c r="J25" s="9">
        <f>VLOOKUP(A25,[1]PAR!$A$5:$H$120,2,FALSE)</f>
        <v>332835.03</v>
      </c>
      <c r="K25" s="10">
        <f t="shared" si="15"/>
        <v>0.0149737675595937</v>
      </c>
      <c r="L25" s="9">
        <f>VLOOKUP(A25,[1]ticket_pivot!$A$6:$V$127,5,FALSE)</f>
        <v>10423355.43</v>
      </c>
      <c r="M25" s="9">
        <f>VLOOKUP(A25,[1]ticket_pivot!$A$6:$V$127,6,FALSE)</f>
        <v>9432943.05</v>
      </c>
      <c r="N25" s="10">
        <f t="shared" si="16"/>
        <v>0.904981424969023</v>
      </c>
      <c r="O25" s="9">
        <f>VLOOKUP(A25,[1]ticket_pivot!$A$6:$V$127,7,FALSE)</f>
        <v>9098584.48</v>
      </c>
      <c r="P25" s="10">
        <f t="shared" si="17"/>
        <v>0.964554162128648</v>
      </c>
      <c r="Q25" s="9">
        <f>VLOOKUP(A25,[1]Sheet12!$A$5:$G$125,3,FALSE)</f>
        <v>28980539.45</v>
      </c>
      <c r="R25" s="9">
        <f>VLOOKUP(A25,[1]NPL!$A$5:$H$119,3,FALSE)</f>
        <v>1152489.71</v>
      </c>
      <c r="S25" s="10">
        <f t="shared" si="18"/>
        <v>0.0397677107421822</v>
      </c>
      <c r="T25" s="9">
        <f>VLOOKUP(A25,[1]PAR!$A$5:$H$120,3,FALSE)</f>
        <v>1453689.17</v>
      </c>
    </row>
    <row r="26" spans="1:20">
      <c r="A26" s="6" t="s">
        <v>37</v>
      </c>
      <c r="B26" s="9">
        <f>VLOOKUP(A26,[1]ticket_pivot!$A$6:$V$127,2,FALSE)</f>
        <v>1990089.84</v>
      </c>
      <c r="C26" s="9">
        <f>VLOOKUP(A26,[1]ticket_pivot!$A$6:$V$127,3,FALSE)</f>
        <v>1166043.1</v>
      </c>
      <c r="D26" s="10">
        <f t="shared" si="12"/>
        <v>0.585924854528175</v>
      </c>
      <c r="E26" s="9">
        <f>VLOOKUP(A26,[1]ticket_pivot!$A$6:$V$127,4,FALSE)</f>
        <v>1119056.71</v>
      </c>
      <c r="F26" s="10">
        <f t="shared" si="13"/>
        <v>0.959704414013513</v>
      </c>
      <c r="G26" s="9">
        <f>VLOOKUP(A26,[1]Sheet12!$A$5:$G$125,2,FALSE)</f>
        <v>14990510.68</v>
      </c>
      <c r="H26" s="9">
        <f>VLOOKUP(A26,[1]NPL!$A$5:$H$119,2,FALSE)</f>
        <v>1051278.65</v>
      </c>
      <c r="I26" s="10">
        <f t="shared" si="14"/>
        <v>0.0701296088199712</v>
      </c>
      <c r="J26" s="9">
        <f>VLOOKUP(A26,[1]PAR!$A$5:$H$120,2,FALSE)</f>
        <v>2031663.1</v>
      </c>
      <c r="K26" s="10">
        <f t="shared" si="15"/>
        <v>0.135529945801686</v>
      </c>
      <c r="L26" s="9">
        <f>VLOOKUP(A26,[1]ticket_pivot!$A$6:$V$127,5,FALSE)</f>
        <v>17911837.74</v>
      </c>
      <c r="M26" s="9">
        <f>VLOOKUP(A26,[1]ticket_pivot!$A$6:$V$127,6,FALSE)</f>
        <v>12711093.87</v>
      </c>
      <c r="N26" s="10">
        <f t="shared" si="16"/>
        <v>0.709647667342034</v>
      </c>
      <c r="O26" s="9">
        <f>VLOOKUP(A26,[1]ticket_pivot!$A$6:$V$127,7,FALSE)</f>
        <v>12302385.74</v>
      </c>
      <c r="P26" s="10">
        <f t="shared" si="17"/>
        <v>0.967846344761514</v>
      </c>
      <c r="Q26" s="9">
        <f>VLOOKUP(A26,[1]Sheet12!$A$5:$G$125,3,FALSE)</f>
        <v>68349228.57</v>
      </c>
      <c r="R26" s="9">
        <f>VLOOKUP(A26,[1]NPL!$A$5:$H$119,3,FALSE)</f>
        <v>5785101.44</v>
      </c>
      <c r="S26" s="10">
        <f t="shared" si="18"/>
        <v>0.0846403326129011</v>
      </c>
      <c r="T26" s="9">
        <f>VLOOKUP(A26,[1]PAR!$A$5:$H$120,3,FALSE)</f>
        <v>7465646.05</v>
      </c>
    </row>
    <row r="27" spans="1:20">
      <c r="A27" s="11" t="s">
        <v>38</v>
      </c>
      <c r="B27" s="12">
        <f>SUM(B25:B26)</f>
        <v>4625506.58</v>
      </c>
      <c r="C27" s="12">
        <f t="shared" ref="C27:T27" si="20">SUM(C25:C26)</f>
        <v>3287406.82</v>
      </c>
      <c r="D27" s="13">
        <f t="shared" si="12"/>
        <v>0.710712818832483</v>
      </c>
      <c r="E27" s="12">
        <f t="shared" si="20"/>
        <v>3239120.5</v>
      </c>
      <c r="F27" s="13">
        <f t="shared" si="13"/>
        <v>0.985311729687292</v>
      </c>
      <c r="G27" s="12">
        <f t="shared" si="20"/>
        <v>37218385.44</v>
      </c>
      <c r="H27" s="12">
        <f t="shared" si="20"/>
        <v>1384113.68</v>
      </c>
      <c r="I27" s="13">
        <f t="shared" si="14"/>
        <v>0.0371889769971709</v>
      </c>
      <c r="J27" s="12">
        <f t="shared" si="20"/>
        <v>2364498.13</v>
      </c>
      <c r="K27" s="13">
        <f t="shared" si="15"/>
        <v>0.06353037892554</v>
      </c>
      <c r="L27" s="12">
        <f t="shared" si="20"/>
        <v>28335193.17</v>
      </c>
      <c r="M27" s="12">
        <f t="shared" si="20"/>
        <v>22144036.92</v>
      </c>
      <c r="N27" s="13">
        <f t="shared" si="16"/>
        <v>0.781502945370603</v>
      </c>
      <c r="O27" s="12">
        <f t="shared" si="20"/>
        <v>21400970.22</v>
      </c>
      <c r="P27" s="13">
        <f t="shared" si="17"/>
        <v>0.966443936907959</v>
      </c>
      <c r="Q27" s="12">
        <f t="shared" si="20"/>
        <v>97329768.02</v>
      </c>
      <c r="R27" s="12">
        <f t="shared" si="20"/>
        <v>6937591.15</v>
      </c>
      <c r="S27" s="13">
        <f t="shared" si="18"/>
        <v>0.0712792323575087</v>
      </c>
      <c r="T27" s="12">
        <f t="shared" si="20"/>
        <v>8919335.22</v>
      </c>
    </row>
    <row r="28" spans="1:20">
      <c r="A28" s="14" t="s">
        <v>39</v>
      </c>
      <c r="B28" s="15">
        <f>SUM(B27,B24)</f>
        <v>16995530.42</v>
      </c>
      <c r="C28" s="15">
        <f t="shared" ref="C28:T28" si="21">SUM(C27,C24)</f>
        <v>8231682.82</v>
      </c>
      <c r="D28" s="16">
        <f t="shared" si="12"/>
        <v>0.484343978479961</v>
      </c>
      <c r="E28" s="15">
        <f t="shared" si="21"/>
        <v>8054049.32</v>
      </c>
      <c r="F28" s="16">
        <f t="shared" si="13"/>
        <v>0.978420755040705</v>
      </c>
      <c r="G28" s="15">
        <f t="shared" si="21"/>
        <v>101764445.22</v>
      </c>
      <c r="H28" s="15">
        <f t="shared" si="21"/>
        <v>8051879.89</v>
      </c>
      <c r="I28" s="16">
        <f t="shared" si="14"/>
        <v>0.0791227218169666</v>
      </c>
      <c r="J28" s="15">
        <f t="shared" si="21"/>
        <v>12394259.41</v>
      </c>
      <c r="K28" s="16">
        <f t="shared" si="15"/>
        <v>0.121793612525528</v>
      </c>
      <c r="L28" s="15">
        <f t="shared" si="21"/>
        <v>64494974.74</v>
      </c>
      <c r="M28" s="15">
        <f t="shared" si="21"/>
        <v>46554944.64</v>
      </c>
      <c r="N28" s="16">
        <f t="shared" si="16"/>
        <v>0.721838326593319</v>
      </c>
      <c r="O28" s="15">
        <f t="shared" si="21"/>
        <v>44838952.89</v>
      </c>
      <c r="P28" s="16">
        <f t="shared" si="17"/>
        <v>0.963140504982459</v>
      </c>
      <c r="Q28" s="15">
        <f t="shared" si="21"/>
        <v>284933550.3</v>
      </c>
      <c r="R28" s="15">
        <f t="shared" si="21"/>
        <v>17058598.78</v>
      </c>
      <c r="S28" s="16">
        <f t="shared" si="18"/>
        <v>0.0598686913564211</v>
      </c>
      <c r="T28" s="15">
        <f t="shared" si="21"/>
        <v>27271734.16</v>
      </c>
    </row>
    <row r="29" spans="1:20">
      <c r="A29" s="17" t="s">
        <v>40</v>
      </c>
      <c r="B29" s="18">
        <f>SUM(B28,B19,B14)</f>
        <v>24074295.9</v>
      </c>
      <c r="C29" s="18">
        <f t="shared" ref="C29:T29" si="22">SUM(C28,C19,C14)</f>
        <v>10882863.57</v>
      </c>
      <c r="D29" s="19">
        <f t="shared" si="12"/>
        <v>0.452053244473081</v>
      </c>
      <c r="E29" s="18">
        <f t="shared" si="22"/>
        <v>10682319.06</v>
      </c>
      <c r="F29" s="19">
        <f t="shared" si="13"/>
        <v>0.98157245023701</v>
      </c>
      <c r="G29" s="18">
        <f t="shared" si="22"/>
        <v>149069678.21</v>
      </c>
      <c r="H29" s="18">
        <f t="shared" si="22"/>
        <v>11740258.16</v>
      </c>
      <c r="I29" s="19">
        <f t="shared" si="14"/>
        <v>0.0787568491525222</v>
      </c>
      <c r="J29" s="18">
        <f t="shared" si="22"/>
        <v>19972874.64</v>
      </c>
      <c r="K29" s="19">
        <f t="shared" si="15"/>
        <v>0.133983482622559</v>
      </c>
      <c r="L29" s="18">
        <f t="shared" si="22"/>
        <v>166027055.6</v>
      </c>
      <c r="M29" s="18">
        <f t="shared" si="22"/>
        <v>117401461.53</v>
      </c>
      <c r="N29" s="19">
        <f t="shared" si="16"/>
        <v>0.707122469321199</v>
      </c>
      <c r="O29" s="18">
        <f t="shared" si="22"/>
        <v>113016660.25</v>
      </c>
      <c r="P29" s="19">
        <f t="shared" si="17"/>
        <v>0.962651220667474</v>
      </c>
      <c r="Q29" s="18">
        <f t="shared" si="22"/>
        <v>753056883.83</v>
      </c>
      <c r="R29" s="18">
        <f t="shared" si="22"/>
        <v>45872912.4</v>
      </c>
      <c r="S29" s="19">
        <f t="shared" si="18"/>
        <v>0.0609156006471825</v>
      </c>
      <c r="T29" s="18">
        <f t="shared" si="22"/>
        <v>83070060.99</v>
      </c>
    </row>
    <row r="30" spans="1:20">
      <c r="A30" s="20" t="s">
        <v>41</v>
      </c>
      <c r="B30" s="21">
        <f>B29</f>
        <v>24074295.9</v>
      </c>
      <c r="C30" s="21">
        <f t="shared" ref="C30:T30" si="23">C29</f>
        <v>10882863.57</v>
      </c>
      <c r="D30" s="22">
        <f t="shared" si="23"/>
        <v>0.452053244473081</v>
      </c>
      <c r="E30" s="21">
        <f t="shared" si="23"/>
        <v>10682319.06</v>
      </c>
      <c r="F30" s="24">
        <f t="shared" si="23"/>
        <v>0.98157245023701</v>
      </c>
      <c r="G30" s="21">
        <f t="shared" si="23"/>
        <v>149069678.21</v>
      </c>
      <c r="H30" s="21">
        <f t="shared" si="23"/>
        <v>11740258.16</v>
      </c>
      <c r="I30" s="22">
        <f t="shared" si="23"/>
        <v>0.0787568491525222</v>
      </c>
      <c r="J30" s="21">
        <f t="shared" si="23"/>
        <v>19972874.64</v>
      </c>
      <c r="K30" s="22">
        <f t="shared" si="23"/>
        <v>0.133983482622559</v>
      </c>
      <c r="L30" s="21">
        <f t="shared" si="23"/>
        <v>166027055.6</v>
      </c>
      <c r="M30" s="21">
        <f t="shared" si="23"/>
        <v>117401461.53</v>
      </c>
      <c r="N30" s="22">
        <f t="shared" si="23"/>
        <v>0.707122469321199</v>
      </c>
      <c r="O30" s="21">
        <f t="shared" si="23"/>
        <v>113016660.25</v>
      </c>
      <c r="P30" s="22">
        <f t="shared" si="23"/>
        <v>0.962651220667474</v>
      </c>
      <c r="Q30" s="21">
        <f t="shared" si="23"/>
        <v>753056883.83</v>
      </c>
      <c r="R30" s="21">
        <f t="shared" si="23"/>
        <v>45872912.4</v>
      </c>
      <c r="S30" s="22">
        <f t="shared" si="23"/>
        <v>0.0609156006471825</v>
      </c>
      <c r="T30" s="21">
        <f t="shared" si="23"/>
        <v>83070060.99</v>
      </c>
    </row>
  </sheetData>
  <mergeCells count="2">
    <mergeCell ref="B1:J1"/>
    <mergeCell ref="L1:T1"/>
  </mergeCells>
  <conditionalFormatting sqref="D3:D29">
    <cfRule type="cellIs" dxfId="0" priority="7" operator="lessThan">
      <formula>0.681</formula>
    </cfRule>
  </conditionalFormatting>
  <conditionalFormatting sqref="F3:F29">
    <cfRule type="cellIs" dxfId="0" priority="6" operator="lessThan">
      <formula>0.976</formula>
    </cfRule>
  </conditionalFormatting>
  <conditionalFormatting sqref="I3:I29">
    <cfRule type="cellIs" dxfId="0" priority="5" operator="greaterThan">
      <formula>0.026</formula>
    </cfRule>
  </conditionalFormatting>
  <conditionalFormatting sqref="K3:K29">
    <cfRule type="cellIs" dxfId="0" priority="4" operator="greaterThan">
      <formula>0.045</formula>
    </cfRule>
  </conditionalFormatting>
  <conditionalFormatting sqref="N3:N29">
    <cfRule type="cellIs" dxfId="0" priority="3" operator="lessThan">
      <formula>0.724</formula>
    </cfRule>
  </conditionalFormatting>
  <conditionalFormatting sqref="P3:P29">
    <cfRule type="cellIs" dxfId="0" priority="2" operator="lessThan">
      <formula>0.972</formula>
    </cfRule>
  </conditionalFormatting>
  <conditionalFormatting sqref="S3:S29">
    <cfRule type="cellIs" dxfId="0" priority="1" operator="greaterThan">
      <formula>0.062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topLeftCell="A38" workbookViewId="0">
      <selection activeCell="G56" sqref="G56"/>
    </sheetView>
  </sheetViews>
  <sheetFormatPr defaultColWidth="9" defaultRowHeight="14.4"/>
  <cols>
    <col min="1" max="1" width="18.3611111111111" customWidth="1"/>
    <col min="2" max="3" width="11.4537037037037" customWidth="1"/>
    <col min="5" max="5" width="11.4537037037037" customWidth="1"/>
    <col min="7" max="7" width="12.2685185185185" customWidth="1"/>
    <col min="10" max="10" width="11" customWidth="1"/>
  </cols>
  <sheetData>
    <row r="1" spans="2:11">
      <c r="B1" s="1" t="s">
        <v>42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5" t="s">
        <v>8</v>
      </c>
      <c r="H2" s="3" t="s">
        <v>9</v>
      </c>
      <c r="I2" s="4" t="s">
        <v>10</v>
      </c>
      <c r="J2" s="3" t="s">
        <v>11</v>
      </c>
      <c r="K2" s="4" t="s">
        <v>12</v>
      </c>
    </row>
    <row r="3" spans="1:11">
      <c r="A3" s="6" t="s">
        <v>43</v>
      </c>
      <c r="B3" s="7">
        <f>VLOOKUP(A3,[2]ticket_pivot!$A$6:$V$127,2,FALSE)</f>
        <v>18554968.26</v>
      </c>
      <c r="C3" s="7">
        <f>VLOOKUP(A3,[2]ticket_pivot!$A$6:$V$127,3,FALSE)</f>
        <v>10124187.95</v>
      </c>
      <c r="D3" s="8">
        <f t="shared" ref="D3:D59" si="0">IFERROR(C3/B3,"")</f>
        <v>0.545632189079261</v>
      </c>
      <c r="E3" s="7">
        <f>VLOOKUP(A3,[2]ticket_pivot!$A$6:$V$127,4,FALSE)</f>
        <v>10003180.86</v>
      </c>
      <c r="F3" s="8">
        <f t="shared" ref="F3:F59" si="1">IFERROR(E3/C3,"")</f>
        <v>0.988047723867078</v>
      </c>
      <c r="G3" s="7">
        <f>VLOOKUP(A3,[2]Sheet12!$A$5:$G$125,2,FALSE)</f>
        <v>155417824.53</v>
      </c>
      <c r="H3" s="7" t="str">
        <f>IFERROR(VLOOKUP(A3,[2]NPL!$A$4:$H$119,2,FALSE),"")</f>
        <v/>
      </c>
      <c r="I3" s="8" t="str">
        <f t="shared" ref="I3:I66" si="2">IFERROR(H3/G3,"")</f>
        <v/>
      </c>
      <c r="J3" s="7">
        <f>VLOOKUP(A3,[2]PAR!$A$5:$H$120,2,FALSE)</f>
        <v>2364944.8</v>
      </c>
      <c r="K3" s="8">
        <f t="shared" ref="K3:K66" si="3">IFERROR(J3/G3,"")</f>
        <v>0.0152166896374457</v>
      </c>
    </row>
    <row r="4" spans="1:11">
      <c r="A4" s="6" t="s">
        <v>44</v>
      </c>
      <c r="B4" s="9">
        <f>VLOOKUP(A4,[2]ticket_pivot!$A$6:$V$127,2,FALSE)</f>
        <v>9783047.67</v>
      </c>
      <c r="C4" s="9">
        <f>VLOOKUP(A4,[2]ticket_pivot!$A$6:$V$127,3,FALSE)</f>
        <v>6113427.73</v>
      </c>
      <c r="D4" s="10">
        <f t="shared" si="0"/>
        <v>0.624900126853823</v>
      </c>
      <c r="E4" s="9">
        <f>VLOOKUP(A4,[2]ticket_pivot!$A$6:$V$127,4,FALSE)</f>
        <v>6017423.43</v>
      </c>
      <c r="F4" s="10">
        <f t="shared" si="1"/>
        <v>0.984296158515315</v>
      </c>
      <c r="G4" s="9">
        <f>VLOOKUP(A4,[2]Sheet12!$A$5:$G$125,2,FALSE)</f>
        <v>131198050.43</v>
      </c>
      <c r="H4" s="9" t="str">
        <f>IFERROR(VLOOKUP(A4,[2]NPL!$A$5:$H$119,2,FALSE),"")</f>
        <v/>
      </c>
      <c r="I4" s="10" t="str">
        <f t="shared" si="2"/>
        <v/>
      </c>
      <c r="J4" s="9"/>
      <c r="K4" s="10">
        <f t="shared" si="3"/>
        <v>0</v>
      </c>
    </row>
    <row r="5" spans="1:11">
      <c r="A5" s="11" t="s">
        <v>45</v>
      </c>
      <c r="B5" s="12">
        <f>SUM(B3:B4)</f>
        <v>28338015.93</v>
      </c>
      <c r="C5" s="12">
        <f>SUM(C3:C4)</f>
        <v>16237615.68</v>
      </c>
      <c r="D5" s="13">
        <f t="shared" si="0"/>
        <v>0.572997619879594</v>
      </c>
      <c r="E5" s="12">
        <f>SUM(E3:E4)</f>
        <v>16020604.29</v>
      </c>
      <c r="F5" s="13">
        <f t="shared" si="1"/>
        <v>0.986635267500062</v>
      </c>
      <c r="G5" s="12">
        <f>SUM(G3:G4)</f>
        <v>286615874.96</v>
      </c>
      <c r="H5" s="12">
        <f>SUM(H3:H4)</f>
        <v>0</v>
      </c>
      <c r="I5" s="13">
        <f t="shared" si="2"/>
        <v>0</v>
      </c>
      <c r="J5" s="12">
        <f>SUM(J3:J4)</f>
        <v>2364944.8</v>
      </c>
      <c r="K5" s="13">
        <f t="shared" si="3"/>
        <v>0.00825126940484385</v>
      </c>
    </row>
    <row r="6" spans="1:11">
      <c r="A6" s="6" t="s">
        <v>46</v>
      </c>
      <c r="B6" s="9">
        <f>VLOOKUP(A6,[2]ticket_pivot!$A$6:$V$127,2,FALSE)</f>
        <v>9903095.25</v>
      </c>
      <c r="C6" s="9">
        <f>VLOOKUP(A6,[2]ticket_pivot!$A$6:$V$127,3,FALSE)</f>
        <v>9550463.57</v>
      </c>
      <c r="D6" s="10">
        <f t="shared" si="0"/>
        <v>0.964391771350477</v>
      </c>
      <c r="E6" s="9">
        <f>VLOOKUP(A6,[2]ticket_pivot!$A$6:$V$127,4,FALSE)</f>
        <v>8209262.2</v>
      </c>
      <c r="F6" s="10">
        <f t="shared" si="1"/>
        <v>0.859566882783261</v>
      </c>
      <c r="G6" s="9">
        <f>VLOOKUP(A6,[2]Sheet12!$A$5:$G$125,2,FALSE)</f>
        <v>189901499.38</v>
      </c>
      <c r="H6" s="9" t="str">
        <f>IFERROR(VLOOKUP(A6,[2]NPL!$A$5:$H$119,2,FALSE),"")</f>
        <v/>
      </c>
      <c r="I6" s="10" t="str">
        <f t="shared" si="2"/>
        <v/>
      </c>
      <c r="J6" s="9">
        <f>VLOOKUP(A6,[2]PAR!$A$5:$H$120,2,FALSE)</f>
        <v>847652</v>
      </c>
      <c r="K6" s="10">
        <f t="shared" si="3"/>
        <v>0.00446364037549707</v>
      </c>
    </row>
    <row r="7" spans="1:11">
      <c r="A7" s="6" t="s">
        <v>47</v>
      </c>
      <c r="B7" s="7">
        <f>VLOOKUP(A7,[2]ticket_pivot!$A$6:$V$127,2,FALSE)</f>
        <v>8755906</v>
      </c>
      <c r="C7" s="7">
        <f>VLOOKUP(A7,[2]ticket_pivot!$A$6:$V$127,3,FALSE)</f>
        <v>8394281.58</v>
      </c>
      <c r="D7" s="8">
        <f t="shared" si="0"/>
        <v>0.958699371601294</v>
      </c>
      <c r="E7" s="7">
        <f>VLOOKUP(A7,[2]ticket_pivot!$A$6:$V$127,4,FALSE)</f>
        <v>8338238.82</v>
      </c>
      <c r="F7" s="8">
        <f t="shared" si="1"/>
        <v>0.993323697869092</v>
      </c>
      <c r="G7" s="7">
        <f>VLOOKUP(A7,[2]Sheet12!$A$5:$G$125,2,FALSE)</f>
        <v>154958967.89</v>
      </c>
      <c r="H7" s="7"/>
      <c r="I7" s="8">
        <f t="shared" si="2"/>
        <v>0</v>
      </c>
      <c r="J7" s="7">
        <f>VLOOKUP(A7,[2]PAR!$A$5:$H$120,2,FALSE)</f>
        <v>909654.32</v>
      </c>
      <c r="K7" s="8">
        <f t="shared" si="3"/>
        <v>0.0058702915512817</v>
      </c>
    </row>
    <row r="8" spans="1:11">
      <c r="A8" s="11" t="s">
        <v>48</v>
      </c>
      <c r="B8" s="12">
        <f>SUM(B6:B7)</f>
        <v>18659001.25</v>
      </c>
      <c r="C8" s="12">
        <f>SUM(C6:C7)</f>
        <v>17944745.15</v>
      </c>
      <c r="D8" s="13">
        <f t="shared" si="0"/>
        <v>0.961720561008055</v>
      </c>
      <c r="E8" s="12">
        <f>SUM(E6:E7)</f>
        <v>16547501.02</v>
      </c>
      <c r="F8" s="13">
        <f t="shared" si="1"/>
        <v>0.922136306850811</v>
      </c>
      <c r="G8" s="12">
        <f>SUM(G6:G7)</f>
        <v>344860467.27</v>
      </c>
      <c r="H8" s="12"/>
      <c r="I8" s="13">
        <f t="shared" si="2"/>
        <v>0</v>
      </c>
      <c r="J8" s="12">
        <f>SUM(J6:J7)</f>
        <v>1757306.32</v>
      </c>
      <c r="K8" s="13">
        <f t="shared" si="3"/>
        <v>0.00509570242687214</v>
      </c>
    </row>
    <row r="9" spans="1:11">
      <c r="A9" s="6" t="s">
        <v>49</v>
      </c>
      <c r="B9" s="9">
        <f>VLOOKUP(A9,[2]ticket_pivot!$A$6:$V$127,2,FALSE)</f>
        <v>6593385.47</v>
      </c>
      <c r="C9" s="9">
        <f>VLOOKUP(A9,[2]ticket_pivot!$A$6:$V$127,3,FALSE)</f>
        <v>4837610.24</v>
      </c>
      <c r="D9" s="10">
        <f t="shared" si="0"/>
        <v>0.733706570321301</v>
      </c>
      <c r="E9" s="9">
        <f>VLOOKUP(A9,[2]ticket_pivot!$A$6:$V$127,4,FALSE)</f>
        <v>4761570.27</v>
      </c>
      <c r="F9" s="10">
        <f t="shared" si="1"/>
        <v>0.984281501355512</v>
      </c>
      <c r="G9" s="9">
        <f>VLOOKUP(A9,[2]Sheet12!$A$5:$G$125,2,FALSE)</f>
        <v>78811240.45</v>
      </c>
      <c r="H9" s="9"/>
      <c r="I9" s="10">
        <f t="shared" si="2"/>
        <v>0</v>
      </c>
      <c r="J9" s="9">
        <f>VLOOKUP(A9,[2]PAR!$A$5:$H$120,2,FALSE)</f>
        <v>1701747.29</v>
      </c>
      <c r="K9" s="10">
        <f t="shared" si="3"/>
        <v>0.021592697694939</v>
      </c>
    </row>
    <row r="10" spans="1:11">
      <c r="A10" s="6" t="s">
        <v>50</v>
      </c>
      <c r="B10" s="9">
        <f>VLOOKUP(A10,[2]ticket_pivot!$A$6:$V$127,2,FALSE)</f>
        <v>19464762.37</v>
      </c>
      <c r="C10" s="9">
        <f>VLOOKUP(A10,[2]ticket_pivot!$A$6:$V$127,3,FALSE)</f>
        <v>11558700.58</v>
      </c>
      <c r="D10" s="10">
        <f t="shared" si="0"/>
        <v>0.593826955617748</v>
      </c>
      <c r="E10" s="9">
        <f>VLOOKUP(A10,[2]ticket_pivot!$A$6:$V$127,4,FALSE)</f>
        <v>11474189.93</v>
      </c>
      <c r="F10" s="10">
        <f t="shared" si="1"/>
        <v>0.992688568285416</v>
      </c>
      <c r="G10" s="9">
        <f>VLOOKUP(A10,[2]Sheet12!$A$5:$G$125,2,FALSE)</f>
        <v>156043398.1</v>
      </c>
      <c r="H10" s="9"/>
      <c r="I10" s="10">
        <f t="shared" si="2"/>
        <v>0</v>
      </c>
      <c r="J10" s="9"/>
      <c r="K10" s="10">
        <f t="shared" si="3"/>
        <v>0</v>
      </c>
    </row>
    <row r="11" spans="1:11">
      <c r="A11" s="6" t="s">
        <v>51</v>
      </c>
      <c r="B11" s="9">
        <f>VLOOKUP(A11,[2]ticket_pivot!$A$6:$V$127,2,FALSE)</f>
        <v>9414048.63</v>
      </c>
      <c r="C11" s="9">
        <f>VLOOKUP(A11,[2]ticket_pivot!$A$6:$V$127,3,FALSE)</f>
        <v>9429382.41</v>
      </c>
      <c r="D11" s="10">
        <f t="shared" si="0"/>
        <v>1.00162881886451</v>
      </c>
      <c r="E11" s="9">
        <f>VLOOKUP(A11,[2]ticket_pivot!$A$6:$V$127,4,FALSE)</f>
        <v>9414048.63</v>
      </c>
      <c r="F11" s="10">
        <f t="shared" si="1"/>
        <v>0.998373829872067</v>
      </c>
      <c r="G11" s="9">
        <f>VLOOKUP(A11,[2]Sheet12!$A$5:$G$125,2,FALSE)</f>
        <v>157443463.33</v>
      </c>
      <c r="H11" s="9"/>
      <c r="I11" s="10">
        <f t="shared" si="2"/>
        <v>0</v>
      </c>
      <c r="J11" s="9"/>
      <c r="K11" s="10">
        <f t="shared" si="3"/>
        <v>0</v>
      </c>
    </row>
    <row r="12" spans="1:11">
      <c r="A12" s="11" t="s">
        <v>52</v>
      </c>
      <c r="B12" s="12">
        <f>SUM(B9:B11)</f>
        <v>35472196.47</v>
      </c>
      <c r="C12" s="12">
        <f>SUM(C9:C11)</f>
        <v>25825693.23</v>
      </c>
      <c r="D12" s="13">
        <f t="shared" si="0"/>
        <v>0.728054527208137</v>
      </c>
      <c r="E12" s="12">
        <f>SUM(E9:E11)</f>
        <v>25649808.83</v>
      </c>
      <c r="F12" s="13">
        <f t="shared" si="1"/>
        <v>0.993189557452201</v>
      </c>
      <c r="G12" s="12">
        <f>SUM(G9:G11)</f>
        <v>392298101.88</v>
      </c>
      <c r="H12" s="12"/>
      <c r="I12" s="13">
        <f t="shared" si="2"/>
        <v>0</v>
      </c>
      <c r="J12" s="12">
        <f>SUM(J9:J11)</f>
        <v>1701747.29</v>
      </c>
      <c r="K12" s="13">
        <f t="shared" si="3"/>
        <v>0.00433789325475897</v>
      </c>
    </row>
    <row r="13" spans="1:11">
      <c r="A13" s="14" t="s">
        <v>53</v>
      </c>
      <c r="B13" s="15">
        <f>SUM(B12,B8,B5)</f>
        <v>82469213.65</v>
      </c>
      <c r="C13" s="15">
        <f>SUM(C12,C8,C5)</f>
        <v>60008054.06</v>
      </c>
      <c r="D13" s="16">
        <f t="shared" si="0"/>
        <v>0.7276418848211</v>
      </c>
      <c r="E13" s="15">
        <f>SUM(E12,E8,E5)</f>
        <v>58217914.14</v>
      </c>
      <c r="F13" s="16">
        <f t="shared" si="1"/>
        <v>0.97016833909978</v>
      </c>
      <c r="G13" s="15">
        <f>SUM(G12,G8,G5)</f>
        <v>1023774444.11</v>
      </c>
      <c r="H13" s="15"/>
      <c r="I13" s="16">
        <f t="shared" si="2"/>
        <v>0</v>
      </c>
      <c r="J13" s="15">
        <f>SUM(J12,J8,J5)</f>
        <v>5823998.41</v>
      </c>
      <c r="K13" s="16">
        <f t="shared" si="3"/>
        <v>0.00568875150528199</v>
      </c>
    </row>
    <row r="14" spans="1:11">
      <c r="A14" s="6" t="s">
        <v>54</v>
      </c>
      <c r="B14" s="9">
        <f>VLOOKUP(A14,[2]ticket_pivot!$A$6:$V$127,2,FALSE)</f>
        <v>5640782.82</v>
      </c>
      <c r="C14" s="9">
        <f>VLOOKUP(A14,[2]ticket_pivot!$A$6:$V$127,3,FALSE)</f>
        <v>5903182.47</v>
      </c>
      <c r="D14" s="10">
        <f t="shared" si="0"/>
        <v>1.04651830399668</v>
      </c>
      <c r="E14" s="9">
        <f>VLOOKUP(A14,[2]ticket_pivot!$A$6:$V$127,4,FALSE)</f>
        <v>5442809.08</v>
      </c>
      <c r="F14" s="10">
        <f t="shared" si="1"/>
        <v>0.922012678357882</v>
      </c>
      <c r="G14" s="9">
        <f>VLOOKUP(A14,[2]Sheet12!$A$5:$G$125,2,FALSE)</f>
        <v>87055034.14</v>
      </c>
      <c r="H14" s="9"/>
      <c r="I14" s="10">
        <f t="shared" si="2"/>
        <v>0</v>
      </c>
      <c r="J14" s="9">
        <f>VLOOKUP(A14,[2]PAR!$A$5:$H$120,2,FALSE)</f>
        <v>1300374.72</v>
      </c>
      <c r="K14" s="10">
        <f t="shared" si="3"/>
        <v>0.0149373868248534</v>
      </c>
    </row>
    <row r="15" spans="1:11">
      <c r="A15" s="6" t="s">
        <v>55</v>
      </c>
      <c r="B15" s="9">
        <f>VLOOKUP(A15,[2]ticket_pivot!$A$6:$V$127,2,FALSE)</f>
        <v>12797645.97</v>
      </c>
      <c r="C15" s="9">
        <f>VLOOKUP(A15,[2]ticket_pivot!$A$6:$V$127,3,FALSE)</f>
        <v>10380049.09</v>
      </c>
      <c r="D15" s="10">
        <f t="shared" si="0"/>
        <v>0.811090501669816</v>
      </c>
      <c r="E15" s="9">
        <f>VLOOKUP(A15,[2]ticket_pivot!$A$6:$V$127,4,FALSE)</f>
        <v>10370874.03</v>
      </c>
      <c r="F15" s="10">
        <f t="shared" si="1"/>
        <v>0.999116087031916</v>
      </c>
      <c r="G15" s="9">
        <f>VLOOKUP(A15,[2]Sheet12!$A$5:$G$125,2,FALSE)</f>
        <v>113605953.15</v>
      </c>
      <c r="H15" s="9"/>
      <c r="I15" s="10">
        <f t="shared" si="2"/>
        <v>0</v>
      </c>
      <c r="J15" s="9"/>
      <c r="K15" s="10">
        <f t="shared" si="3"/>
        <v>0</v>
      </c>
    </row>
    <row r="16" spans="1:11">
      <c r="A16" s="6" t="s">
        <v>56</v>
      </c>
      <c r="B16" s="9">
        <f>VLOOKUP(A16,[2]ticket_pivot!$A$6:$V$127,2,FALSE)</f>
        <v>25224951.44</v>
      </c>
      <c r="C16" s="9">
        <f>VLOOKUP(A16,[2]ticket_pivot!$A$6:$V$127,3,FALSE)</f>
        <v>13806909.64</v>
      </c>
      <c r="D16" s="10">
        <f t="shared" si="0"/>
        <v>0.547351287190427</v>
      </c>
      <c r="E16" s="9">
        <f>VLOOKUP(A16,[2]ticket_pivot!$A$6:$V$127,4,FALSE)</f>
        <v>13655770.66</v>
      </c>
      <c r="F16" s="10">
        <f t="shared" si="1"/>
        <v>0.98905338095629</v>
      </c>
      <c r="G16" s="9">
        <f>VLOOKUP(A16,[2]Sheet12!$A$5:$G$125,2,FALSE)</f>
        <v>146409432.89</v>
      </c>
      <c r="H16" s="9"/>
      <c r="I16" s="10">
        <f t="shared" si="2"/>
        <v>0</v>
      </c>
      <c r="J16" s="9">
        <f>VLOOKUP(A16,[2]PAR!$A$5:$H$120,2,FALSE)</f>
        <v>873043.67</v>
      </c>
      <c r="K16" s="10">
        <f t="shared" si="3"/>
        <v>0.00596302883473316</v>
      </c>
    </row>
    <row r="17" spans="1:11">
      <c r="A17" s="6" t="s">
        <v>57</v>
      </c>
      <c r="B17" s="9">
        <f>VLOOKUP(A17,[2]ticket_pivot!$A$6:$V$127,2,FALSE)</f>
        <v>20683377.61</v>
      </c>
      <c r="C17" s="9">
        <f>VLOOKUP(A17,[2]ticket_pivot!$A$6:$V$127,3,FALSE)</f>
        <v>11103354.88</v>
      </c>
      <c r="D17" s="10">
        <f t="shared" si="0"/>
        <v>0.536825033578256</v>
      </c>
      <c r="E17" s="9">
        <f>VLOOKUP(A17,[2]ticket_pivot!$A$6:$V$127,4,FALSE)</f>
        <v>11097658.01</v>
      </c>
      <c r="F17" s="10">
        <f t="shared" si="1"/>
        <v>0.999486923541437</v>
      </c>
      <c r="G17" s="9">
        <f>VLOOKUP(A17,[2]Sheet12!$A$5:$G$125,2,FALSE)</f>
        <v>75857193.82</v>
      </c>
      <c r="H17" s="9"/>
      <c r="I17" s="10">
        <f t="shared" si="2"/>
        <v>0</v>
      </c>
      <c r="J17" s="9"/>
      <c r="K17" s="10">
        <f t="shared" si="3"/>
        <v>0</v>
      </c>
    </row>
    <row r="18" spans="1:11">
      <c r="A18" s="11" t="s">
        <v>58</v>
      </c>
      <c r="B18" s="12">
        <f>SUM(B14:B17)</f>
        <v>64346757.84</v>
      </c>
      <c r="C18" s="12">
        <f>SUM(C14:C17)</f>
        <v>41193496.08</v>
      </c>
      <c r="D18" s="13">
        <f t="shared" si="0"/>
        <v>0.640179823549599</v>
      </c>
      <c r="E18" s="12">
        <f>SUM(E14:E17)</f>
        <v>40567111.78</v>
      </c>
      <c r="F18" s="13">
        <f t="shared" si="1"/>
        <v>0.984794097136511</v>
      </c>
      <c r="G18" s="12">
        <f>SUM(G14:G17)</f>
        <v>422927614</v>
      </c>
      <c r="H18" s="12"/>
      <c r="I18" s="13">
        <f t="shared" si="2"/>
        <v>0</v>
      </c>
      <c r="J18" s="12">
        <f>SUM(J14:J17)</f>
        <v>2173418.39</v>
      </c>
      <c r="K18" s="13">
        <f t="shared" si="3"/>
        <v>0.00513898435111404</v>
      </c>
    </row>
    <row r="19" spans="1:11">
      <c r="A19" s="6" t="s">
        <v>59</v>
      </c>
      <c r="B19" s="7">
        <f>VLOOKUP(A19,[2]ticket_pivot!$A$6:$V$127,2,FALSE)</f>
        <v>12307518.19</v>
      </c>
      <c r="C19" s="7">
        <f>VLOOKUP(A19,[2]ticket_pivot!$A$6:$V$127,3,FALSE)</f>
        <v>12244740.13</v>
      </c>
      <c r="D19" s="8">
        <f t="shared" si="0"/>
        <v>0.994899210463811</v>
      </c>
      <c r="E19" s="7">
        <f>VLOOKUP(A19,[2]ticket_pivot!$A$6:$V$127,4,FALSE)</f>
        <v>12183699.16</v>
      </c>
      <c r="F19" s="8">
        <f t="shared" si="1"/>
        <v>0.995014923195435</v>
      </c>
      <c r="G19" s="7">
        <f>VLOOKUP(A19,[2]Sheet12!$A$5:$G$125,2,FALSE)</f>
        <v>170675582.37</v>
      </c>
      <c r="H19" s="7"/>
      <c r="I19" s="8">
        <f t="shared" si="2"/>
        <v>0</v>
      </c>
      <c r="J19" s="7">
        <f>VLOOKUP(A19,[2]PAR!$A$5:$H$120,2,FALSE)</f>
        <v>644738</v>
      </c>
      <c r="K19" s="8">
        <f t="shared" si="3"/>
        <v>0.00377756437708999</v>
      </c>
    </row>
    <row r="20" spans="1:11">
      <c r="A20" s="6" t="s">
        <v>60</v>
      </c>
      <c r="B20" s="9">
        <f>VLOOKUP(A20,[2]ticket_pivot!$A$6:$V$127,2,FALSE)</f>
        <v>9477289.56</v>
      </c>
      <c r="C20" s="9">
        <f>VLOOKUP(A20,[2]ticket_pivot!$A$6:$V$127,3,FALSE)</f>
        <v>8762651.44</v>
      </c>
      <c r="D20" s="10">
        <f t="shared" si="0"/>
        <v>0.924594672825423</v>
      </c>
      <c r="E20" s="9">
        <f>VLOOKUP(A20,[2]ticket_pivot!$A$6:$V$127,4,FALSE)</f>
        <v>8752405.86</v>
      </c>
      <c r="F20" s="10">
        <f t="shared" si="1"/>
        <v>0.998830767140499</v>
      </c>
      <c r="G20" s="9">
        <f>VLOOKUP(A20,[2]Sheet12!$A$5:$G$125,2,FALSE)</f>
        <v>125527437.04</v>
      </c>
      <c r="H20" s="9"/>
      <c r="I20" s="10">
        <f t="shared" si="2"/>
        <v>0</v>
      </c>
      <c r="J20" s="9">
        <f>VLOOKUP(A20,[2]PAR!$A$5:$H$120,2,FALSE)</f>
        <v>4657566.4</v>
      </c>
      <c r="K20" s="10">
        <f t="shared" si="3"/>
        <v>0.0371039711303581</v>
      </c>
    </row>
    <row r="21" spans="1:11">
      <c r="A21" s="6" t="s">
        <v>61</v>
      </c>
      <c r="B21" s="9">
        <f>VLOOKUP(A21,[2]ticket_pivot!$A$6:$V$127,2,FALSE)</f>
        <v>8642789.78</v>
      </c>
      <c r="C21" s="9">
        <f>VLOOKUP(A21,[2]ticket_pivot!$A$6:$V$127,3,FALSE)</f>
        <v>8533524.45</v>
      </c>
      <c r="D21" s="10">
        <f t="shared" si="0"/>
        <v>0.987357631877979</v>
      </c>
      <c r="E21" s="9">
        <f>VLOOKUP(A21,[2]ticket_pivot!$A$6:$V$127,4,FALSE)</f>
        <v>8525561.18</v>
      </c>
      <c r="F21" s="10">
        <f t="shared" si="1"/>
        <v>0.99906682519671</v>
      </c>
      <c r="G21" s="9">
        <f>VLOOKUP(A21,[2]Sheet12!$A$5:$G$125,2,FALSE)</f>
        <v>123870959.86</v>
      </c>
      <c r="H21" s="9"/>
      <c r="I21" s="10">
        <f t="shared" si="2"/>
        <v>0</v>
      </c>
      <c r="J21" s="9"/>
      <c r="K21" s="10">
        <f t="shared" si="3"/>
        <v>0</v>
      </c>
    </row>
    <row r="22" spans="1:11">
      <c r="A22" s="6" t="s">
        <v>62</v>
      </c>
      <c r="B22" s="9">
        <f>VLOOKUP(A22,[2]ticket_pivot!$A$6:$V$127,2,FALSE)</f>
        <v>6027729.24</v>
      </c>
      <c r="C22" s="9">
        <f>VLOOKUP(A22,[2]ticket_pivot!$A$6:$V$127,3,FALSE)</f>
        <v>5956675.87</v>
      </c>
      <c r="D22" s="10">
        <f t="shared" si="0"/>
        <v>0.988212249228368</v>
      </c>
      <c r="E22" s="9">
        <f>VLOOKUP(A22,[2]ticket_pivot!$A$6:$V$127,4,FALSE)</f>
        <v>5948935.89</v>
      </c>
      <c r="F22" s="10">
        <f t="shared" si="1"/>
        <v>0.998700620921984</v>
      </c>
      <c r="G22" s="9">
        <f>VLOOKUP(A22,[2]Sheet12!$A$5:$G$125,2,FALSE)</f>
        <v>87674571.76</v>
      </c>
      <c r="H22" s="9"/>
      <c r="I22" s="10">
        <f t="shared" si="2"/>
        <v>0</v>
      </c>
      <c r="J22" s="9"/>
      <c r="K22" s="10">
        <f t="shared" si="3"/>
        <v>0</v>
      </c>
    </row>
    <row r="23" spans="1:11">
      <c r="A23" s="6" t="s">
        <v>63</v>
      </c>
      <c r="B23" s="7">
        <f>VLOOKUP(A23,[2]ticket_pivot!$A$6:$V$127,2,FALSE)</f>
        <v>10790109.77</v>
      </c>
      <c r="C23" s="7">
        <f>VLOOKUP(A23,[2]ticket_pivot!$A$6:$V$127,3,FALSE)</f>
        <v>10806540.45</v>
      </c>
      <c r="D23" s="8">
        <f t="shared" si="0"/>
        <v>1.00152275373933</v>
      </c>
      <c r="E23" s="7">
        <f>VLOOKUP(A23,[2]ticket_pivot!$A$6:$V$127,4,FALSE)</f>
        <v>10789363.09</v>
      </c>
      <c r="F23" s="8">
        <f t="shared" si="1"/>
        <v>0.998410466320884</v>
      </c>
      <c r="G23" s="7">
        <f>VLOOKUP(A23,[2]Sheet12!$A$5:$G$125,2,FALSE)</f>
        <v>161496606.03</v>
      </c>
      <c r="H23" s="7"/>
      <c r="I23" s="8">
        <f t="shared" si="2"/>
        <v>0</v>
      </c>
      <c r="J23" s="7"/>
      <c r="K23" s="8">
        <f t="shared" si="3"/>
        <v>0</v>
      </c>
    </row>
    <row r="24" spans="1:11">
      <c r="A24" s="11" t="s">
        <v>64</v>
      </c>
      <c r="B24" s="12">
        <f>SUM(B19:B23)</f>
        <v>47245436.54</v>
      </c>
      <c r="C24" s="12">
        <f>SUM(C19:C23)</f>
        <v>46304132.34</v>
      </c>
      <c r="D24" s="13">
        <f t="shared" si="0"/>
        <v>0.980076293734675</v>
      </c>
      <c r="E24" s="12">
        <f>SUM(E19:E23)</f>
        <v>46199965.18</v>
      </c>
      <c r="F24" s="13">
        <f t="shared" si="1"/>
        <v>0.997750370113079</v>
      </c>
      <c r="G24" s="12">
        <f>SUM(G19:G23)</f>
        <v>669245157.06</v>
      </c>
      <c r="H24" s="12"/>
      <c r="I24" s="13">
        <f t="shared" si="2"/>
        <v>0</v>
      </c>
      <c r="J24" s="12">
        <f>SUM(J20:J23)</f>
        <v>4657566.4</v>
      </c>
      <c r="K24" s="13">
        <f t="shared" si="3"/>
        <v>0.00695943235579131</v>
      </c>
    </row>
    <row r="25" spans="1:11">
      <c r="A25" s="6" t="s">
        <v>65</v>
      </c>
      <c r="B25" s="9">
        <f>VLOOKUP(A25,[2]ticket_pivot!$A$6:$V$127,2,FALSE)</f>
        <v>4861988.84</v>
      </c>
      <c r="C25" s="9">
        <f>VLOOKUP(A25,[2]ticket_pivot!$A$6:$V$127,3,FALSE)</f>
        <v>4854331.91</v>
      </c>
      <c r="D25" s="10">
        <f t="shared" si="0"/>
        <v>0.99842514447236</v>
      </c>
      <c r="E25" s="9">
        <f>VLOOKUP(A25,[2]ticket_pivot!$A$6:$V$127,4,FALSE)</f>
        <v>4849235.25</v>
      </c>
      <c r="F25" s="10">
        <f t="shared" si="1"/>
        <v>0.998950080032743</v>
      </c>
      <c r="G25" s="9">
        <f>VLOOKUP(A25,[2]Sheet12!$A$5:$G$125,2,FALSE)</f>
        <v>65294598.5</v>
      </c>
      <c r="H25" s="9"/>
      <c r="I25" s="10">
        <f t="shared" si="2"/>
        <v>0</v>
      </c>
      <c r="J25" s="9"/>
      <c r="K25" s="10">
        <f t="shared" si="3"/>
        <v>0</v>
      </c>
    </row>
    <row r="26" spans="1:11">
      <c r="A26" s="6" t="s">
        <v>66</v>
      </c>
      <c r="B26" s="9">
        <f>VLOOKUP(A26,[2]ticket_pivot!$A$6:$V$127,2,FALSE)</f>
        <v>9916197.13</v>
      </c>
      <c r="C26" s="9">
        <f>VLOOKUP(A26,[2]ticket_pivot!$A$6:$V$127,3,FALSE)</f>
        <v>9576352.81</v>
      </c>
      <c r="D26" s="10">
        <f t="shared" si="0"/>
        <v>0.965728361836227</v>
      </c>
      <c r="E26" s="9">
        <f>VLOOKUP(A26,[2]ticket_pivot!$A$6:$V$127,4,FALSE)</f>
        <v>9543675.21</v>
      </c>
      <c r="F26" s="10">
        <f t="shared" si="1"/>
        <v>0.996587677934561</v>
      </c>
      <c r="G26" s="9">
        <f>VLOOKUP(A26,[2]Sheet12!$A$5:$G$125,2,FALSE)</f>
        <v>146580849.26</v>
      </c>
      <c r="H26" s="9"/>
      <c r="I26" s="10">
        <f t="shared" si="2"/>
        <v>0</v>
      </c>
      <c r="J26" s="9">
        <f>VLOOKUP(A26,[2]PAR!$A$5:$H$120,2,FALSE)</f>
        <v>1573589.7</v>
      </c>
      <c r="K26" s="10">
        <f t="shared" si="3"/>
        <v>0.0107353021076363</v>
      </c>
    </row>
    <row r="27" spans="1:11">
      <c r="A27" s="6" t="s">
        <v>67</v>
      </c>
      <c r="B27" s="9">
        <f>VLOOKUP(A27,[2]ticket_pivot!$A$6:$V$127,2,FALSE)</f>
        <v>6401684.34</v>
      </c>
      <c r="C27" s="9">
        <f>VLOOKUP(A27,[2]ticket_pivot!$A$6:$V$127,3,FALSE)</f>
        <v>6288205.81</v>
      </c>
      <c r="D27" s="10">
        <f t="shared" si="0"/>
        <v>0.982273644876405</v>
      </c>
      <c r="E27" s="9">
        <f>VLOOKUP(A27,[2]ticket_pivot!$A$6:$V$127,4,FALSE)</f>
        <v>6256898.12</v>
      </c>
      <c r="F27" s="10">
        <f t="shared" si="1"/>
        <v>0.995021204625616</v>
      </c>
      <c r="G27" s="9">
        <f>VLOOKUP(A27,[2]Sheet12!$A$5:$G$125,2,FALSE)</f>
        <v>85997455.26</v>
      </c>
      <c r="H27" s="9"/>
      <c r="I27" s="10">
        <f t="shared" si="2"/>
        <v>0</v>
      </c>
      <c r="J27" s="9"/>
      <c r="K27" s="10">
        <f t="shared" si="3"/>
        <v>0</v>
      </c>
    </row>
    <row r="28" spans="1:11">
      <c r="A28" s="11" t="s">
        <v>68</v>
      </c>
      <c r="B28" s="12">
        <f>SUM(B25:B27)</f>
        <v>21179870.31</v>
      </c>
      <c r="C28" s="12">
        <f>SUM(C25:C27)</f>
        <v>20718890.53</v>
      </c>
      <c r="D28" s="13">
        <f t="shared" si="0"/>
        <v>0.97823500459385</v>
      </c>
      <c r="E28" s="12">
        <f>SUM(E25:E27)</f>
        <v>20649808.58</v>
      </c>
      <c r="F28" s="13">
        <f t="shared" si="1"/>
        <v>0.996665750518833</v>
      </c>
      <c r="G28" s="12">
        <f>SUM(G25:G27)</f>
        <v>297872903.02</v>
      </c>
      <c r="H28" s="12"/>
      <c r="I28" s="13">
        <f t="shared" si="2"/>
        <v>0</v>
      </c>
      <c r="J28" s="12"/>
      <c r="K28" s="13">
        <f t="shared" si="3"/>
        <v>0</v>
      </c>
    </row>
    <row r="29" spans="1:11">
      <c r="A29" s="14" t="s">
        <v>69</v>
      </c>
      <c r="B29" s="15">
        <f>SUM(B28,B24,B18)</f>
        <v>132772064.69</v>
      </c>
      <c r="C29" s="15">
        <f>SUM(C28,C24,C18)</f>
        <v>108216518.95</v>
      </c>
      <c r="D29" s="16">
        <f t="shared" si="0"/>
        <v>0.815054877715934</v>
      </c>
      <c r="E29" s="15">
        <f>SUM(E28,E24,E18)</f>
        <v>107416885.54</v>
      </c>
      <c r="F29" s="16">
        <f t="shared" si="1"/>
        <v>0.992610800848533</v>
      </c>
      <c r="G29" s="15">
        <f>SUM(G28,G24,G18)</f>
        <v>1390045674.08</v>
      </c>
      <c r="H29" s="15"/>
      <c r="I29" s="16">
        <f t="shared" si="2"/>
        <v>0</v>
      </c>
      <c r="J29" s="15">
        <f>SUM(J28,J24,J18)</f>
        <v>6830984.79</v>
      </c>
      <c r="K29" s="16">
        <f t="shared" si="3"/>
        <v>0.00491421607028926</v>
      </c>
    </row>
    <row r="30" spans="1:11">
      <c r="A30" s="6" t="s">
        <v>70</v>
      </c>
      <c r="B30" s="9">
        <f>VLOOKUP(A30,[2]ticket_pivot!$A$6:$V$127,2,FALSE)</f>
        <v>7956885.9</v>
      </c>
      <c r="C30" s="9">
        <f>VLOOKUP(A30,[2]ticket_pivot!$A$6:$V$127,3,FALSE)</f>
        <v>7773056.02</v>
      </c>
      <c r="D30" s="10">
        <f t="shared" si="0"/>
        <v>0.976896755551063</v>
      </c>
      <c r="E30" s="9">
        <f>VLOOKUP(A30,[2]ticket_pivot!$A$6:$V$127,4,FALSE)</f>
        <v>7620256.09</v>
      </c>
      <c r="F30" s="10">
        <f t="shared" si="1"/>
        <v>0.980342360892955</v>
      </c>
      <c r="G30" s="9">
        <f>VLOOKUP(A30,[2]Sheet12!$A$5:$G$125,2,FALSE)</f>
        <v>103315479.17</v>
      </c>
      <c r="H30" s="9"/>
      <c r="I30" s="10">
        <f t="shared" si="2"/>
        <v>0</v>
      </c>
      <c r="J30" s="9"/>
      <c r="K30" s="10">
        <f t="shared" si="3"/>
        <v>0</v>
      </c>
    </row>
    <row r="31" spans="1:11">
      <c r="A31" s="6" t="s">
        <v>71</v>
      </c>
      <c r="B31" s="7">
        <f>VLOOKUP(A31,[2]ticket_pivot!$A$6:$V$127,2,FALSE)</f>
        <v>9931079.89</v>
      </c>
      <c r="C31" s="7">
        <f>VLOOKUP(A31,[2]ticket_pivot!$A$6:$V$127,3,FALSE)</f>
        <v>9445165.04</v>
      </c>
      <c r="D31" s="8">
        <f t="shared" si="0"/>
        <v>0.951071297846543</v>
      </c>
      <c r="E31" s="7">
        <f>VLOOKUP(A31,[2]ticket_pivot!$A$6:$V$127,4,FALSE)</f>
        <v>9432635.96</v>
      </c>
      <c r="F31" s="8">
        <f t="shared" si="1"/>
        <v>0.998673492739731</v>
      </c>
      <c r="G31" s="7">
        <f>VLOOKUP(A31,[2]Sheet12!$A$5:$G$125,2,FALSE)</f>
        <v>134566285.04</v>
      </c>
      <c r="H31" s="7">
        <f>VLOOKUP(A31,[2]NPL!$A$5:$H$119,2,FALSE)</f>
        <v>363532.41</v>
      </c>
      <c r="I31" s="8">
        <f t="shared" si="2"/>
        <v>0.00270151182290527</v>
      </c>
      <c r="J31" s="7">
        <f>VLOOKUP(A31,[2]PAR!$A$5:$H$120,2,FALSE)</f>
        <v>363532.41</v>
      </c>
      <c r="K31" s="8">
        <f t="shared" si="3"/>
        <v>0.00270151182290527</v>
      </c>
    </row>
    <row r="32" spans="1:11">
      <c r="A32" s="6" t="s">
        <v>72</v>
      </c>
      <c r="B32" s="7"/>
      <c r="C32" s="7"/>
      <c r="D32" s="8" t="str">
        <f t="shared" si="0"/>
        <v/>
      </c>
      <c r="E32" s="7"/>
      <c r="F32" s="8" t="str">
        <f t="shared" si="1"/>
        <v/>
      </c>
      <c r="G32" s="7"/>
      <c r="H32" s="7"/>
      <c r="I32" s="8" t="str">
        <f t="shared" si="2"/>
        <v/>
      </c>
      <c r="J32" s="7"/>
      <c r="K32" s="8" t="str">
        <f t="shared" si="3"/>
        <v/>
      </c>
    </row>
    <row r="33" spans="1:11">
      <c r="A33" s="11" t="s">
        <v>73</v>
      </c>
      <c r="B33" s="12">
        <f>SUM(B30:B32)</f>
        <v>17887965.79</v>
      </c>
      <c r="C33" s="12">
        <f>SUM(C30:C32)</f>
        <v>17218221.06</v>
      </c>
      <c r="D33" s="13">
        <f t="shared" si="0"/>
        <v>0.962558921575397</v>
      </c>
      <c r="E33" s="12">
        <f>SUM(E30:E32)</f>
        <v>17052892.05</v>
      </c>
      <c r="F33" s="13">
        <f t="shared" si="1"/>
        <v>0.990398020247046</v>
      </c>
      <c r="G33" s="12">
        <f>SUM(G30:G32)</f>
        <v>237881764.21</v>
      </c>
      <c r="H33" s="12">
        <f>SUM(H30:H32)</f>
        <v>363532.41</v>
      </c>
      <c r="I33" s="13">
        <f t="shared" si="2"/>
        <v>0.00152820629696977</v>
      </c>
      <c r="J33" s="12">
        <f>SUM(J30:J32)</f>
        <v>363532.41</v>
      </c>
      <c r="K33" s="13">
        <f t="shared" si="3"/>
        <v>0.00152820629696977</v>
      </c>
    </row>
    <row r="34" spans="1:11">
      <c r="A34" s="6" t="s">
        <v>74</v>
      </c>
      <c r="B34" s="9">
        <f>VLOOKUP(A34,[2]ticket_pivot!$A$6:$V$127,2,FALSE)</f>
        <v>6913888.64</v>
      </c>
      <c r="C34" s="9">
        <f>VLOOKUP(A34,[2]ticket_pivot!$A$6:$V$127,3,FALSE)</f>
        <v>6753059.96</v>
      </c>
      <c r="D34" s="10">
        <f t="shared" si="0"/>
        <v>0.976738317844819</v>
      </c>
      <c r="E34" s="9">
        <f>VLOOKUP(A34,[2]ticket_pivot!$A$6:$V$127,4,FALSE)</f>
        <v>6736930.79</v>
      </c>
      <c r="F34" s="10">
        <f t="shared" si="1"/>
        <v>0.997611576071361</v>
      </c>
      <c r="G34" s="9">
        <f>VLOOKUP(A34,[2]Sheet12!$A$5:$G$125,2,FALSE)</f>
        <v>104573559.25</v>
      </c>
      <c r="H34" s="9"/>
      <c r="I34" s="10">
        <f t="shared" si="2"/>
        <v>0</v>
      </c>
      <c r="J34" s="9"/>
      <c r="K34" s="10">
        <f t="shared" si="3"/>
        <v>0</v>
      </c>
    </row>
    <row r="35" spans="1:11">
      <c r="A35" s="6" t="s">
        <v>75</v>
      </c>
      <c r="B35" s="9">
        <f>VLOOKUP(A35,[2]ticket_pivot!$A$6:$V$127,2,FALSE)</f>
        <v>16864351.52</v>
      </c>
      <c r="C35" s="9">
        <f>VLOOKUP(A35,[2]ticket_pivot!$A$6:$V$127,3,FALSE)</f>
        <v>16589467.4</v>
      </c>
      <c r="D35" s="10">
        <f t="shared" si="0"/>
        <v>0.983700285203733</v>
      </c>
      <c r="E35" s="9">
        <f>VLOOKUP(A35,[2]ticket_pivot!$A$6:$V$127,4,FALSE)</f>
        <v>16434976.66</v>
      </c>
      <c r="F35" s="10">
        <f t="shared" si="1"/>
        <v>0.990687420139841</v>
      </c>
      <c r="G35" s="9">
        <f>VLOOKUP(A35,[2]Sheet12!$A$5:$G$125,2,FALSE)</f>
        <v>292867729.12</v>
      </c>
      <c r="H35" s="9"/>
      <c r="I35" s="10">
        <f t="shared" si="2"/>
        <v>0</v>
      </c>
      <c r="J35" s="9"/>
      <c r="K35" s="10">
        <f t="shared" si="3"/>
        <v>0</v>
      </c>
    </row>
    <row r="36" spans="1:11">
      <c r="A36" s="11" t="s">
        <v>76</v>
      </c>
      <c r="B36" s="12">
        <f>SUM(B34:B35)</f>
        <v>23778240.16</v>
      </c>
      <c r="C36" s="12">
        <f>SUM(C34:C35)</f>
        <v>23342527.36</v>
      </c>
      <c r="D36" s="13">
        <f t="shared" si="0"/>
        <v>0.981675986234971</v>
      </c>
      <c r="E36" s="12">
        <f>SUM(E34:E35)</f>
        <v>23171907.45</v>
      </c>
      <c r="F36" s="13">
        <f t="shared" si="1"/>
        <v>0.992690598264335</v>
      </c>
      <c r="G36" s="12">
        <f>SUM(G34:G35)</f>
        <v>397441288.37</v>
      </c>
      <c r="H36" s="12"/>
      <c r="I36" s="13">
        <f t="shared" si="2"/>
        <v>0</v>
      </c>
      <c r="J36" s="12">
        <f>SUM(J34:J35)</f>
        <v>0</v>
      </c>
      <c r="K36" s="13">
        <f t="shared" si="3"/>
        <v>0</v>
      </c>
    </row>
    <row r="37" spans="1:11">
      <c r="A37" s="14" t="s">
        <v>77</v>
      </c>
      <c r="B37" s="15">
        <f>SUM(B36,B33)</f>
        <v>41666205.95</v>
      </c>
      <c r="C37" s="15">
        <f>SUM(C36,C33)</f>
        <v>40560748.42</v>
      </c>
      <c r="D37" s="16">
        <f t="shared" si="0"/>
        <v>0.973468725918396</v>
      </c>
      <c r="E37" s="15">
        <f>SUM(E36,E33)</f>
        <v>40224799.5</v>
      </c>
      <c r="F37" s="16">
        <f t="shared" si="1"/>
        <v>0.991717388532349</v>
      </c>
      <c r="G37" s="15">
        <f>SUM(G36,G33)</f>
        <v>635323052.58</v>
      </c>
      <c r="H37" s="15"/>
      <c r="I37" s="16">
        <f t="shared" si="2"/>
        <v>0</v>
      </c>
      <c r="J37" s="15">
        <f>SUM(J36,J33)</f>
        <v>363532.41</v>
      </c>
      <c r="K37" s="16">
        <f t="shared" si="3"/>
        <v>0.000572200880361136</v>
      </c>
    </row>
    <row r="38" spans="1:11">
      <c r="A38" s="6" t="s">
        <v>78</v>
      </c>
      <c r="B38" s="7">
        <f>VLOOKUP(A38,[2]ticket_pivot!$A$6:$V$127,2,FALSE)</f>
        <v>15158893</v>
      </c>
      <c r="C38" s="7">
        <f>VLOOKUP(A38,[2]ticket_pivot!$A$6:$V$127,3,FALSE)</f>
        <v>14213793.16</v>
      </c>
      <c r="D38" s="8">
        <f t="shared" si="0"/>
        <v>0.937653769308881</v>
      </c>
      <c r="E38" s="7">
        <f>VLOOKUP(A38,[2]ticket_pivot!$A$6:$V$127,4,FALSE)</f>
        <v>14203383.26</v>
      </c>
      <c r="F38" s="8">
        <f t="shared" si="1"/>
        <v>0.999267619847649</v>
      </c>
      <c r="G38" s="7">
        <f>VLOOKUP(A38,[2]Sheet12!$A$5:$G$125,2,FALSE)</f>
        <v>210683641.12</v>
      </c>
      <c r="H38" s="7"/>
      <c r="I38" s="8">
        <f t="shared" si="2"/>
        <v>0</v>
      </c>
      <c r="J38" s="7">
        <f>VLOOKUP(A38,[2]PAR!$A$5:$H$120,2,FALSE)</f>
        <v>1762800.35</v>
      </c>
      <c r="K38" s="8">
        <f t="shared" si="3"/>
        <v>0.00836704900593565</v>
      </c>
    </row>
    <row r="39" spans="1:11">
      <c r="A39" s="6" t="s">
        <v>79</v>
      </c>
      <c r="B39" s="9">
        <f>VLOOKUP(A39,[2]ticket_pivot!$A$6:$V$127,2,FALSE)</f>
        <v>9490990.12</v>
      </c>
      <c r="C39" s="9">
        <f>VLOOKUP(A39,[2]ticket_pivot!$A$6:$V$127,3,FALSE)</f>
        <v>9199436.56</v>
      </c>
      <c r="D39" s="10">
        <f t="shared" si="0"/>
        <v>0.969281017437199</v>
      </c>
      <c r="E39" s="9">
        <f>VLOOKUP(A39,[2]ticket_pivot!$A$6:$V$127,4,FALSE)</f>
        <v>9161504.78</v>
      </c>
      <c r="F39" s="10">
        <f t="shared" si="1"/>
        <v>0.995876727911258</v>
      </c>
      <c r="G39" s="9">
        <f>VLOOKUP(A39,[2]Sheet12!$A$5:$G$125,2,FALSE)</f>
        <v>98291659.48</v>
      </c>
      <c r="H39" s="9"/>
      <c r="I39" s="10">
        <f t="shared" si="2"/>
        <v>0</v>
      </c>
      <c r="J39" s="9">
        <f>VLOOKUP(A39,[2]PAR!$A$5:$H$120,2,FALSE)</f>
        <v>1037102.36</v>
      </c>
      <c r="K39" s="10">
        <f t="shared" si="3"/>
        <v>0.0105512753115235</v>
      </c>
    </row>
    <row r="40" spans="1:11">
      <c r="A40" s="6" t="s">
        <v>80</v>
      </c>
      <c r="B40" s="9">
        <f>VLOOKUP(A40,[2]ticket_pivot!$A$6:$V$127,2,FALSE)</f>
        <v>19663739.29</v>
      </c>
      <c r="C40" s="9">
        <f>VLOOKUP(A40,[2]ticket_pivot!$A$6:$V$127,3,FALSE)</f>
        <v>18265496.1</v>
      </c>
      <c r="D40" s="10">
        <f t="shared" si="0"/>
        <v>0.928892304287666</v>
      </c>
      <c r="E40" s="9">
        <f>VLOOKUP(A40,[2]ticket_pivot!$A$6:$V$127,4,FALSE)</f>
        <v>18215547.14</v>
      </c>
      <c r="F40" s="10">
        <f t="shared" si="1"/>
        <v>0.997265392643783</v>
      </c>
      <c r="G40" s="9">
        <f>VLOOKUP(A40,[2]Sheet12!$A$5:$G$125,2,FALSE)</f>
        <v>164735117.71</v>
      </c>
      <c r="H40" s="9"/>
      <c r="I40" s="10">
        <f t="shared" si="2"/>
        <v>0</v>
      </c>
      <c r="J40" s="9">
        <f>VLOOKUP(A40,[2]PAR!$A$5:$H$120,2,FALSE)</f>
        <v>3413620.04</v>
      </c>
      <c r="K40" s="10">
        <f t="shared" si="3"/>
        <v>0.0207218721026402</v>
      </c>
    </row>
    <row r="41" spans="1:11">
      <c r="A41" s="6" t="s">
        <v>81</v>
      </c>
      <c r="B41" s="9">
        <f>VLOOKUP(A41,[2]ticket_pivot!$A$6:$V$127,2,FALSE)</f>
        <v>5765055.12</v>
      </c>
      <c r="C41" s="9">
        <f>VLOOKUP(A41,[2]ticket_pivot!$A$6:$V$127,3,FALSE)</f>
        <v>7314246.1</v>
      </c>
      <c r="D41" s="10">
        <f t="shared" si="0"/>
        <v>1.26872093115391</v>
      </c>
      <c r="E41" s="9">
        <f>VLOOKUP(A41,[2]ticket_pivot!$A$6:$V$127,4,FALSE)</f>
        <v>5759175.62</v>
      </c>
      <c r="F41" s="10">
        <f t="shared" si="1"/>
        <v>0.787391556321847</v>
      </c>
      <c r="G41" s="9">
        <f>VLOOKUP(A41,[2]Sheet12!$A$5:$G$125,2,FALSE)</f>
        <v>66229912.25</v>
      </c>
      <c r="H41" s="9"/>
      <c r="I41" s="10">
        <f t="shared" si="2"/>
        <v>0</v>
      </c>
      <c r="J41" s="9"/>
      <c r="K41" s="10">
        <f t="shared" si="3"/>
        <v>0</v>
      </c>
    </row>
    <row r="42" spans="1:11">
      <c r="A42" s="6" t="s">
        <v>82</v>
      </c>
      <c r="B42" s="9">
        <f>VLOOKUP(A42,[2]ticket_pivot!$A$6:$V$127,2,FALSE)</f>
        <v>7573943.55</v>
      </c>
      <c r="C42" s="9">
        <f>VLOOKUP(A42,[2]ticket_pivot!$A$6:$V$127,3,FALSE)</f>
        <v>7303163.14</v>
      </c>
      <c r="D42" s="10">
        <f t="shared" si="0"/>
        <v>0.964248425115342</v>
      </c>
      <c r="E42" s="9">
        <f>VLOOKUP(A42,[2]ticket_pivot!$A$6:$V$127,4,FALSE)</f>
        <v>7293464.51</v>
      </c>
      <c r="F42" s="10">
        <f t="shared" si="1"/>
        <v>0.998671995981182</v>
      </c>
      <c r="G42" s="9">
        <f>VLOOKUP(A42,[2]Sheet12!$A$5:$G$125,2,FALSE)</f>
        <v>90523043.14</v>
      </c>
      <c r="H42" s="9">
        <f>VLOOKUP(A42,[2]NPL!$A$5:$H$119,2,FALSE)</f>
        <v>205504.01</v>
      </c>
      <c r="I42" s="10">
        <f t="shared" si="2"/>
        <v>0.00227018450630492</v>
      </c>
      <c r="J42" s="9">
        <f>VLOOKUP(A42,[2]PAR!$A$5:$H$120,2,FALSE)</f>
        <v>827277.82</v>
      </c>
      <c r="K42" s="10">
        <f t="shared" si="3"/>
        <v>0.00913886444052217</v>
      </c>
    </row>
    <row r="43" spans="1:11">
      <c r="A43" s="11" t="s">
        <v>83</v>
      </c>
      <c r="B43" s="12">
        <f>SUM(B38:B42)</f>
        <v>57652621.08</v>
      </c>
      <c r="C43" s="12">
        <f>SUM(C38:C42)</f>
        <v>56296135.06</v>
      </c>
      <c r="D43" s="13">
        <f t="shared" si="0"/>
        <v>0.976471390292599</v>
      </c>
      <c r="E43" s="12">
        <f>SUM(E38:E42)</f>
        <v>54633075.31</v>
      </c>
      <c r="F43" s="13">
        <f t="shared" si="1"/>
        <v>0.970458722464206</v>
      </c>
      <c r="G43" s="12">
        <f>SUM(G38:G42)</f>
        <v>630463373.7</v>
      </c>
      <c r="H43" s="12">
        <f>SUM(H38:H42)</f>
        <v>205504.01</v>
      </c>
      <c r="I43" s="13">
        <f t="shared" si="2"/>
        <v>0.000325957095324917</v>
      </c>
      <c r="J43" s="12">
        <f>SUM(J38:J42)</f>
        <v>7040800.57</v>
      </c>
      <c r="K43" s="13">
        <f t="shared" si="3"/>
        <v>0.0111676599525198</v>
      </c>
    </row>
    <row r="44" spans="1:11">
      <c r="A44" s="6" t="s">
        <v>84</v>
      </c>
      <c r="B44" s="7">
        <f>VLOOKUP(A44,[2]ticket_pivot!$A$6:$V$127,2,FALSE)</f>
        <v>7763400.03</v>
      </c>
      <c r="C44" s="7">
        <f>VLOOKUP(A44,[2]ticket_pivot!$A$6:$V$127,3,FALSE)</f>
        <v>7380467.93</v>
      </c>
      <c r="D44" s="8">
        <f t="shared" si="0"/>
        <v>0.950674691691753</v>
      </c>
      <c r="E44" s="7">
        <f>VLOOKUP(A44,[2]ticket_pivot!$A$6:$V$127,4,FALSE)</f>
        <v>7195434.5</v>
      </c>
      <c r="F44" s="8">
        <f t="shared" si="1"/>
        <v>0.974929309123087</v>
      </c>
      <c r="G44" s="7">
        <f>VLOOKUP(A44,[2]Sheet12!$A$5:$G$125,2,FALSE)</f>
        <v>100042164.79</v>
      </c>
      <c r="H44" s="7"/>
      <c r="I44" s="8">
        <f t="shared" si="2"/>
        <v>0</v>
      </c>
      <c r="J44" s="7">
        <f>VLOOKUP(A44,[2]PAR!$A$5:$H$120,2,FALSE)</f>
        <v>607392.84</v>
      </c>
      <c r="K44" s="8">
        <f t="shared" si="3"/>
        <v>0.00607136842025547</v>
      </c>
    </row>
    <row r="45" spans="1:11">
      <c r="A45" s="6" t="s">
        <v>85</v>
      </c>
      <c r="B45" s="7">
        <f>VLOOKUP(A45,[2]ticket_pivot!$A$6:$V$127,2,FALSE)</f>
        <v>9404331.58</v>
      </c>
      <c r="C45" s="7">
        <f>VLOOKUP(A45,[2]ticket_pivot!$A$6:$V$127,3,FALSE)</f>
        <v>7950342.08</v>
      </c>
      <c r="D45" s="8">
        <f t="shared" si="0"/>
        <v>0.845391510536254</v>
      </c>
      <c r="E45" s="7">
        <f>VLOOKUP(A45,[2]ticket_pivot!$A$6:$V$127,4,FALSE)</f>
        <v>7844592.61</v>
      </c>
      <c r="F45" s="8">
        <f t="shared" si="1"/>
        <v>0.986698752212685</v>
      </c>
      <c r="G45" s="7">
        <f>VLOOKUP(A45,[2]Sheet12!$A$5:$G$125,2,FALSE)</f>
        <v>113618310.08</v>
      </c>
      <c r="H45" s="7">
        <f>VLOOKUP(A45,[2]NPL!$A$5:$H$119,2,FALSE)</f>
        <v>1585889.27</v>
      </c>
      <c r="I45" s="8">
        <f t="shared" si="2"/>
        <v>0.0139580431083983</v>
      </c>
      <c r="J45" s="7">
        <f>VLOOKUP(A45,[2]PAR!$A$5:$H$120,2,FALSE)</f>
        <v>4137533.81</v>
      </c>
      <c r="K45" s="8">
        <f t="shared" si="3"/>
        <v>0.0364160829983012</v>
      </c>
    </row>
    <row r="46" spans="1:11">
      <c r="A46" s="6" t="s">
        <v>86</v>
      </c>
      <c r="B46" s="9">
        <f>VLOOKUP(A46,[2]ticket_pivot!$A$6:$V$127,2,FALSE)</f>
        <v>18517238.88</v>
      </c>
      <c r="C46" s="9">
        <f>VLOOKUP(A46,[2]ticket_pivot!$A$6:$V$127,3,FALSE)</f>
        <v>14433297.68</v>
      </c>
      <c r="D46" s="10">
        <f t="shared" si="0"/>
        <v>0.779451935222861</v>
      </c>
      <c r="E46" s="9">
        <f>VLOOKUP(A46,[2]ticket_pivot!$A$6:$V$127,4,FALSE)</f>
        <v>14422322.47</v>
      </c>
      <c r="F46" s="10">
        <f t="shared" si="1"/>
        <v>0.999239590962278</v>
      </c>
      <c r="G46" s="9">
        <f>VLOOKUP(A46,[2]Sheet12!$A$5:$G$125,2,FALSE)</f>
        <v>264143070.3</v>
      </c>
      <c r="H46" s="9"/>
      <c r="I46" s="10">
        <f t="shared" si="2"/>
        <v>0</v>
      </c>
      <c r="J46" s="9">
        <f>VLOOKUP(A46,[2]PAR!$A$5:$H$120,2,FALSE)</f>
        <v>12459504.14</v>
      </c>
      <c r="K46" s="10">
        <f t="shared" si="3"/>
        <v>0.0471695287173316</v>
      </c>
    </row>
    <row r="47" spans="1:11">
      <c r="A47" s="6" t="s">
        <v>87</v>
      </c>
      <c r="B47" s="9">
        <f>VLOOKUP(A47,[2]ticket_pivot!$A$6:$V$127,2,FALSE)</f>
        <v>3623946.28</v>
      </c>
      <c r="C47" s="9">
        <f>VLOOKUP(A47,[2]ticket_pivot!$A$6:$V$127,3,FALSE)</f>
        <v>3627751.74</v>
      </c>
      <c r="D47" s="10">
        <f t="shared" si="0"/>
        <v>1.00105008730979</v>
      </c>
      <c r="E47" s="9">
        <f>VLOOKUP(A47,[2]ticket_pivot!$A$6:$V$127,4,FALSE)</f>
        <v>3623946.28</v>
      </c>
      <c r="F47" s="10">
        <f t="shared" si="1"/>
        <v>0.998951014216866</v>
      </c>
      <c r="G47" s="9">
        <f>VLOOKUP(A47,[2]Sheet12!$A$5:$G$125,2,FALSE)</f>
        <v>49023403</v>
      </c>
      <c r="H47" s="9"/>
      <c r="I47" s="10">
        <f t="shared" si="2"/>
        <v>0</v>
      </c>
      <c r="J47" s="9"/>
      <c r="K47" s="10">
        <f t="shared" si="3"/>
        <v>0</v>
      </c>
    </row>
    <row r="48" spans="1:11">
      <c r="A48" s="11" t="s">
        <v>88</v>
      </c>
      <c r="B48" s="12">
        <f>SUM(B44:B47)</f>
        <v>39308916.77</v>
      </c>
      <c r="C48" s="12">
        <f>SUM(C44:C47)</f>
        <v>33391859.43</v>
      </c>
      <c r="D48" s="13">
        <f t="shared" si="0"/>
        <v>0.849472897596715</v>
      </c>
      <c r="E48" s="12">
        <f>SUM(E44:E47)</f>
        <v>33086295.86</v>
      </c>
      <c r="F48" s="13">
        <f t="shared" si="1"/>
        <v>0.990849159788764</v>
      </c>
      <c r="G48" s="12">
        <f>SUM(G44:G47)</f>
        <v>526826948.17</v>
      </c>
      <c r="H48" s="12">
        <f>SUM(H44:H47)</f>
        <v>1585889.27</v>
      </c>
      <c r="I48" s="13">
        <f t="shared" si="2"/>
        <v>0.00301026603803922</v>
      </c>
      <c r="J48" s="12">
        <f>SUM(J44:J47)</f>
        <v>17204430.79</v>
      </c>
      <c r="K48" s="13">
        <f t="shared" si="3"/>
        <v>0.032656702262027</v>
      </c>
    </row>
    <row r="49" spans="1:11">
      <c r="A49" s="14" t="s">
        <v>89</v>
      </c>
      <c r="B49" s="15">
        <f>SUM(B48,B43)</f>
        <v>96961537.85</v>
      </c>
      <c r="C49" s="15">
        <f>SUM(C48,C43)</f>
        <v>89687994.49</v>
      </c>
      <c r="D49" s="16">
        <f t="shared" si="0"/>
        <v>0.924985272291657</v>
      </c>
      <c r="E49" s="15">
        <f>SUM(E48,E43)</f>
        <v>87719371.17</v>
      </c>
      <c r="F49" s="16">
        <f t="shared" si="1"/>
        <v>0.978050313966832</v>
      </c>
      <c r="G49" s="15">
        <f>SUM(G48,G43)</f>
        <v>1157290321.87</v>
      </c>
      <c r="H49" s="15">
        <f>SUM(H48,H43)</f>
        <v>1791393.28</v>
      </c>
      <c r="I49" s="16">
        <f t="shared" si="2"/>
        <v>0.00154792038449383</v>
      </c>
      <c r="J49" s="15">
        <f>SUM(J48,J43)</f>
        <v>24245231.36</v>
      </c>
      <c r="K49" s="16">
        <f t="shared" si="3"/>
        <v>0.0209499992368583</v>
      </c>
    </row>
    <row r="50" spans="1:11">
      <c r="A50" s="17" t="s">
        <v>90</v>
      </c>
      <c r="B50" s="18">
        <f>SUM(B49,B37,B29,B13)</f>
        <v>353869022.14</v>
      </c>
      <c r="C50" s="18">
        <f>SUM(C49,C37,C29,C13)</f>
        <v>298473315.92</v>
      </c>
      <c r="D50" s="19">
        <f t="shared" si="0"/>
        <v>0.843457034229789</v>
      </c>
      <c r="E50" s="18">
        <f>SUM(E49,E37,E29,E13)</f>
        <v>293578970.35</v>
      </c>
      <c r="F50" s="19">
        <f t="shared" si="1"/>
        <v>0.983602066553541</v>
      </c>
      <c r="G50" s="18">
        <f>SUM(G49,G37,G29,G13)</f>
        <v>4206433492.64</v>
      </c>
      <c r="H50" s="18">
        <f>SUM(H49,H37,H29,H13)</f>
        <v>1791393.28</v>
      </c>
      <c r="I50" s="23">
        <f t="shared" si="2"/>
        <v>0.000425869868888787</v>
      </c>
      <c r="J50" s="18">
        <f>SUM(J49,J37,J29,J13)</f>
        <v>37263746.97</v>
      </c>
      <c r="K50" s="19">
        <f t="shared" si="3"/>
        <v>0.00885875101441647</v>
      </c>
    </row>
    <row r="51" spans="1:11">
      <c r="A51" s="20" t="s">
        <v>41</v>
      </c>
      <c r="B51" s="21">
        <f>SUM(B50)</f>
        <v>353869022.14</v>
      </c>
      <c r="C51" s="21">
        <f t="shared" ref="C51:K51" si="4">SUM(C50)</f>
        <v>298473315.92</v>
      </c>
      <c r="D51" s="22">
        <f>D50</f>
        <v>0.843457034229789</v>
      </c>
      <c r="E51" s="21">
        <f t="shared" si="4"/>
        <v>293578970.35</v>
      </c>
      <c r="F51" s="22">
        <f>F50</f>
        <v>0.983602066553541</v>
      </c>
      <c r="G51" s="21">
        <f t="shared" si="4"/>
        <v>4206433492.64</v>
      </c>
      <c r="H51" s="21">
        <f t="shared" si="4"/>
        <v>1791393.28</v>
      </c>
      <c r="I51" s="24">
        <f>I50</f>
        <v>0.000425869868888787</v>
      </c>
      <c r="J51" s="21">
        <f t="shared" si="4"/>
        <v>37263746.97</v>
      </c>
      <c r="K51" s="22">
        <f>K50</f>
        <v>0.00885875101441647</v>
      </c>
    </row>
  </sheetData>
  <mergeCells count="1">
    <mergeCell ref="B1:K1"/>
  </mergeCells>
  <conditionalFormatting sqref="D3:D50">
    <cfRule type="cellIs" dxfId="0" priority="4" operator="lessThan">
      <formula>0.886</formula>
    </cfRule>
  </conditionalFormatting>
  <conditionalFormatting sqref="F3:F50">
    <cfRule type="cellIs" dxfId="0" priority="3" operator="lessThan">
      <formula>0.984</formula>
    </cfRule>
  </conditionalFormatting>
  <conditionalFormatting sqref="I3:I50">
    <cfRule type="cellIs" dxfId="0" priority="2" operator="greaterThan">
      <formula>0.0023</formula>
    </cfRule>
  </conditionalFormatting>
  <conditionalFormatting sqref="K3:K50">
    <cfRule type="cellIs" dxfId="0" priority="1" operator="greaterThan">
      <formula>0.012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Maruf Billah - Manager - SMF Procuts</dc:creator>
  <cp:lastModifiedBy>Maruf Billah</cp:lastModifiedBy>
  <dcterms:created xsi:type="dcterms:W3CDTF">2026-04-20T07:52:00Z</dcterms:created>
  <dcterms:modified xsi:type="dcterms:W3CDTF">2026-04-20T15:42:41Z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A624401B56C946DB84224F7A4242BCD0_12</vt:lpwstr>
  </property>
  <property fmtid="{D5CDD505-2E9C-101B-9397-08002B2CF9AE}" pid="3" name="KSOProductBuildVer">
    <vt:lpwstr>1033-12.2.0.23196</vt:lpwstr>
  </property>
</Properties>
</file>